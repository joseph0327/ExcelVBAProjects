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9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oseph\Desktop\All Projects\ExcelVBAFile\ExcelVBAFile\"/>
    </mc:Choice>
  </mc:AlternateContent>
  <xr:revisionPtr revIDLastSave="0" documentId="13_ncr:1_{E96F8B71-613F-4D31-8272-057CB0F30F2D}" xr6:coauthVersionLast="47" xr6:coauthVersionMax="47" xr10:uidLastSave="{00000000-0000-0000-0000-000000000000}"/>
  <bookViews>
    <workbookView xWindow="2688" yWindow="2688" windowWidth="17280" windowHeight="8880" xr2:uid="{00000000-000D-0000-FFFF-FFFF00000000}"/>
  </bookViews>
  <sheets>
    <sheet name="Guidelines" sheetId="7" r:id="rId1"/>
    <sheet name="Audit Viewer" sheetId="6" r:id="rId2"/>
    <sheet name="Data Dump" sheetId="4" state="hidden" r:id="rId3"/>
    <sheet name="Audit Form" sheetId="2" r:id="rId4"/>
    <sheet name="Roster" sheetId="1" r:id="rId5"/>
    <sheet name="Database" sheetId="8" r:id="rId6"/>
    <sheet name="Report" sheetId="9" r:id="rId7"/>
  </sheets>
  <definedNames>
    <definedName name="analyst">Table6[Name]</definedName>
    <definedName name="Auditor">Roster!$N$2:$N$4</definedName>
    <definedName name="audittype">Roster!$N$15:$N$17</definedName>
    <definedName name="callduration">Roster!$O$2:$O$6</definedName>
    <definedName name="calltype">Roster!$U$2:$U$10</definedName>
    <definedName name="contacttype">Roster!$S$2:$S$5</definedName>
    <definedName name="incidenttype">Roster!$T$2:$T$6</definedName>
    <definedName name="kindofaudit">Roster!$Q$2:$Q$6</definedName>
    <definedName name="rating">Roster!$N$21:$N$23</definedName>
    <definedName name="site">Roster!$P$2:$P$6</definedName>
    <definedName name="wg">Roster!$R$2:$R$5</definedName>
    <definedName name="zoep">Roster!$V$2:$V$12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71" i="2" l="1"/>
  <c r="E67" i="2" l="1"/>
  <c r="E71" i="2"/>
  <c r="E55" i="2"/>
  <c r="E56" i="2"/>
  <c r="E65" i="2"/>
  <c r="E62" i="2"/>
  <c r="E60" i="2"/>
  <c r="E57" i="2"/>
  <c r="G10" i="2" l="1"/>
  <c r="R49" i="2"/>
  <c r="S49" i="2" s="1"/>
  <c r="R50" i="2" a="1"/>
  <c r="R50" i="2" s="1"/>
  <c r="S50" i="2" s="1"/>
  <c r="R48" i="2"/>
  <c r="E51" i="2"/>
  <c r="E52" i="2"/>
  <c r="R65" i="2" l="1" a="1"/>
  <c r="R65" i="2" s="1"/>
  <c r="R35" i="2" a="1"/>
  <c r="R35" i="2" s="1"/>
  <c r="R27" i="2" a="1"/>
  <c r="R27" i="2" s="1"/>
  <c r="S27" i="2" s="1"/>
  <c r="R61" i="2"/>
  <c r="R60" i="2"/>
  <c r="R30" i="2" l="1" a="1"/>
  <c r="R30" i="2" s="1"/>
  <c r="S30" i="2" s="1"/>
  <c r="R64" i="2"/>
  <c r="R63" i="2"/>
  <c r="R62" i="2"/>
  <c r="R58" i="2"/>
  <c r="R57" i="2"/>
  <c r="R69" i="2"/>
  <c r="R70" i="2"/>
  <c r="R68" i="2"/>
  <c r="R59" i="2"/>
  <c r="S60" i="2" l="1"/>
  <c r="S62" i="2"/>
  <c r="R33" i="2"/>
  <c r="R34" i="2"/>
  <c r="R46" i="2"/>
  <c r="S33" i="2" l="1"/>
  <c r="BV4" i="2"/>
  <c r="BJ4" i="2" l="1"/>
  <c r="B4" i="6"/>
  <c r="C4" i="6"/>
  <c r="D4" i="6"/>
  <c r="E4" i="6"/>
  <c r="F4" i="6"/>
  <c r="G4" i="6"/>
  <c r="H4" i="6"/>
  <c r="I4" i="6"/>
  <c r="J4" i="6"/>
  <c r="K4" i="6"/>
  <c r="L4" i="6"/>
  <c r="M4" i="6"/>
  <c r="N4" i="6"/>
  <c r="O4" i="6"/>
  <c r="P4" i="6"/>
  <c r="Q4" i="6"/>
  <c r="R4" i="6"/>
  <c r="S4" i="6"/>
  <c r="T4" i="6"/>
  <c r="U4" i="6"/>
  <c r="V4" i="6"/>
  <c r="W4" i="6"/>
  <c r="X4" i="6"/>
  <c r="Y4" i="6"/>
  <c r="Z4" i="6"/>
  <c r="AA4" i="6"/>
  <c r="AB4" i="6"/>
  <c r="AC4" i="6"/>
  <c r="AD4" i="6"/>
  <c r="AE4" i="6"/>
  <c r="AF4" i="6"/>
  <c r="AG4" i="6"/>
  <c r="AH4" i="6"/>
  <c r="AI4" i="6"/>
  <c r="AJ4" i="6"/>
  <c r="AK4" i="6"/>
  <c r="AL4" i="6"/>
  <c r="AM4" i="6"/>
  <c r="AN4" i="6"/>
  <c r="AO4" i="6"/>
  <c r="AP4" i="6"/>
  <c r="AQ4" i="6"/>
  <c r="AR4" i="6"/>
  <c r="AS4" i="6"/>
  <c r="AT4" i="6"/>
  <c r="AU4" i="6"/>
  <c r="AV4" i="6"/>
  <c r="AW4" i="6"/>
  <c r="AX4" i="6"/>
  <c r="AY4" i="6"/>
  <c r="AZ4" i="6"/>
  <c r="BA4" i="6"/>
  <c r="BB4" i="6"/>
  <c r="BC4" i="6"/>
  <c r="BD4" i="6"/>
  <c r="BE4" i="6"/>
  <c r="BF4" i="6"/>
  <c r="BG4" i="6"/>
  <c r="BH4" i="6"/>
  <c r="BI4" i="6"/>
  <c r="BJ4" i="6"/>
  <c r="BK4" i="6"/>
  <c r="BL4" i="6"/>
  <c r="BM4" i="6"/>
  <c r="BN4" i="6"/>
  <c r="BO4" i="6"/>
  <c r="BP4" i="6"/>
  <c r="BQ4" i="6"/>
  <c r="BR4" i="6"/>
  <c r="BS4" i="6"/>
  <c r="BT4" i="6"/>
  <c r="BU4" i="6"/>
  <c r="BV4" i="6"/>
  <c r="BW4" i="6"/>
  <c r="BX4" i="6"/>
  <c r="BY4" i="6"/>
  <c r="BZ4" i="6"/>
  <c r="CA4" i="6"/>
  <c r="CB4" i="6"/>
  <c r="CC4" i="6"/>
  <c r="CD4" i="6"/>
  <c r="CE4" i="6"/>
  <c r="CF4" i="6"/>
  <c r="CG4" i="6"/>
  <c r="CH4" i="6"/>
  <c r="CI4" i="6"/>
  <c r="CJ4" i="6"/>
  <c r="CK4" i="6"/>
  <c r="CL4" i="6"/>
  <c r="CM4" i="6"/>
  <c r="CN4" i="6"/>
  <c r="CO4" i="6"/>
  <c r="CP4" i="6"/>
  <c r="CQ4" i="6"/>
  <c r="CR4" i="6"/>
  <c r="CS4" i="6"/>
  <c r="CT4" i="6"/>
  <c r="CU4" i="6"/>
  <c r="CV4" i="6"/>
  <c r="BH4" i="2"/>
  <c r="BG4" i="2"/>
  <c r="BZ4" i="2"/>
  <c r="BY4" i="2"/>
  <c r="BX4" i="2"/>
  <c r="BW4" i="2"/>
  <c r="BU4" i="2"/>
  <c r="BT4" i="2"/>
  <c r="AS4" i="2" l="1"/>
  <c r="AT4" i="2"/>
  <c r="R38" i="2" l="1" a="1"/>
  <c r="R38" i="2" s="1"/>
  <c r="S38" i="2" s="1"/>
  <c r="CL4" i="2" l="1"/>
  <c r="CJ4" i="2"/>
  <c r="M28" i="2"/>
  <c r="V41" i="2"/>
  <c r="S27" i="6"/>
  <c r="S55" i="6"/>
  <c r="S61" i="6"/>
  <c r="T27" i="6"/>
  <c r="BP4" i="2"/>
  <c r="S4" i="2"/>
  <c r="H9" i="6" l="1"/>
  <c r="H11" i="6"/>
  <c r="H14" i="6"/>
  <c r="H15" i="6"/>
  <c r="H16" i="6"/>
  <c r="H17" i="6"/>
  <c r="H18" i="6"/>
  <c r="H19" i="6"/>
  <c r="R61" i="6"/>
  <c r="R29" i="6"/>
  <c r="R30" i="6"/>
  <c r="R31" i="6"/>
  <c r="R32" i="6"/>
  <c r="R52" i="6"/>
  <c r="R53" i="6"/>
  <c r="R54" i="6"/>
  <c r="S29" i="6"/>
  <c r="S33" i="6"/>
  <c r="S36" i="6"/>
  <c r="S41" i="6"/>
  <c r="S44" i="6"/>
  <c r="S52" i="6"/>
  <c r="S54" i="6"/>
  <c r="T33" i="6"/>
  <c r="T44" i="6"/>
  <c r="T54" i="6"/>
  <c r="T61" i="6"/>
  <c r="A4" i="6"/>
  <c r="Q62" i="6"/>
  <c r="BO4" i="2"/>
  <c r="BN4" i="2"/>
  <c r="BM4" i="2"/>
  <c r="BL4" i="2"/>
  <c r="BK4" i="2"/>
  <c r="BI4" i="2"/>
  <c r="BF4" i="2"/>
  <c r="BE4" i="2"/>
  <c r="BD4" i="2"/>
  <c r="BC4" i="2"/>
  <c r="BB4" i="2"/>
  <c r="BA4" i="2"/>
  <c r="AZ4" i="2"/>
  <c r="AY4" i="2"/>
  <c r="AX4" i="2"/>
  <c r="AW4" i="2"/>
  <c r="AV4" i="2"/>
  <c r="AU4" i="2"/>
  <c r="AR4" i="2"/>
  <c r="AQ4" i="2"/>
  <c r="AP4" i="2"/>
  <c r="AO4" i="2"/>
  <c r="AN4" i="2"/>
  <c r="AM4" i="2"/>
  <c r="AL4" i="2"/>
  <c r="AK4" i="2"/>
  <c r="AJ4" i="2"/>
  <c r="AI4" i="2"/>
  <c r="AH4" i="2"/>
  <c r="AG4" i="2"/>
  <c r="CF4" i="2"/>
  <c r="CE4" i="2"/>
  <c r="CD4" i="2"/>
  <c r="CC4" i="2"/>
  <c r="CB4" i="2"/>
  <c r="CA4" i="2"/>
  <c r="BS4" i="2"/>
  <c r="BR4" i="2"/>
  <c r="BQ4" i="2"/>
  <c r="R4" i="2"/>
  <c r="Q4" i="2"/>
  <c r="M4" i="2"/>
  <c r="R71" i="2"/>
  <c r="T71" i="2" s="1"/>
  <c r="E54" i="2"/>
  <c r="AC4" i="2" s="1"/>
  <c r="E53" i="2"/>
  <c r="AB4" i="2" s="1"/>
  <c r="AA4" i="2"/>
  <c r="T4" i="2"/>
  <c r="E27" i="2"/>
  <c r="U4" i="2" s="1"/>
  <c r="E30" i="2"/>
  <c r="V4" i="2" s="1"/>
  <c r="E35" i="2"/>
  <c r="W4" i="2" s="1"/>
  <c r="E38" i="2"/>
  <c r="X4" i="2" s="1"/>
  <c r="E46" i="2"/>
  <c r="Y4" i="2" s="1"/>
  <c r="E50" i="2"/>
  <c r="Z4" i="2" s="1"/>
  <c r="CU4" i="2" l="1"/>
  <c r="R36" i="6" a="1"/>
  <c r="R36" i="6" s="1"/>
  <c r="R33" i="6" a="1"/>
  <c r="R33" i="6" s="1"/>
  <c r="R41" i="6" a="1"/>
  <c r="R41" i="6" s="1"/>
  <c r="T62" i="6"/>
  <c r="R55" i="6" a="1"/>
  <c r="R55" i="6" s="1"/>
  <c r="R44" i="6" a="1"/>
  <c r="R44" i="6" s="1"/>
  <c r="R27" i="6" a="1"/>
  <c r="R27" i="6" s="1"/>
  <c r="E30" i="6"/>
  <c r="E31" i="6"/>
  <c r="E32" i="6"/>
  <c r="E35" i="6"/>
  <c r="E34" i="6"/>
  <c r="H10" i="6"/>
  <c r="AF4" i="2"/>
  <c r="S71" i="2"/>
  <c r="CP4" i="2" l="1"/>
  <c r="S62" i="6"/>
  <c r="E4" i="2" l="1"/>
  <c r="P4" i="2"/>
  <c r="S48" i="2"/>
  <c r="R67" i="2"/>
  <c r="S67" i="2" s="1"/>
  <c r="I4" i="2"/>
  <c r="L4" i="2"/>
  <c r="K4" i="2"/>
  <c r="J4" i="2"/>
  <c r="H4" i="2"/>
  <c r="G4" i="2"/>
  <c r="F4" i="2"/>
  <c r="D4" i="2"/>
  <c r="A4" i="2"/>
  <c r="CN4" i="2" l="1"/>
  <c r="CO4" i="2"/>
  <c r="T48" i="2"/>
  <c r="CT4" i="2" s="1"/>
  <c r="N4" i="2"/>
  <c r="O4" i="2"/>
  <c r="S35" i="2"/>
  <c r="S46" i="2"/>
  <c r="CM4" i="2" l="1"/>
  <c r="CK4" i="2"/>
  <c r="CH4" i="2"/>
  <c r="B4" i="2"/>
  <c r="T38" i="2"/>
  <c r="CS4" i="2" s="1"/>
  <c r="C4" i="2" l="1"/>
  <c r="S65" i="2"/>
  <c r="T65" i="2" l="1"/>
  <c r="CG4" i="2"/>
  <c r="CQ4" i="2" l="1"/>
  <c r="S57" i="2"/>
  <c r="T57" i="2" l="1"/>
  <c r="Q72" i="2"/>
  <c r="CI4" i="2"/>
  <c r="T27" i="2"/>
  <c r="T72" i="2" l="1"/>
  <c r="S72" i="2"/>
  <c r="CR4" i="2"/>
  <c r="R38" i="1" l="1"/>
  <c r="AD4" i="2"/>
  <c r="AE4" i="2"/>
  <c r="J38" i="2"/>
  <c r="J46" i="2"/>
  <c r="J35" i="2"/>
  <c r="J51" i="2"/>
  <c r="J52" i="2"/>
  <c r="J30" i="2"/>
  <c r="J27" i="2"/>
  <c r="J62" i="2"/>
  <c r="J50" i="2"/>
  <c r="J57" i="2"/>
  <c r="J60" i="2"/>
  <c r="J65" i="2"/>
  <c r="J67" i="2"/>
  <c r="G21" i="2"/>
  <c r="I21" i="2" l="1"/>
  <c r="CV4" i="2"/>
  <c r="R72" i="2" s="1"/>
  <c r="R62" i="6" s="1"/>
  <c r="R66" i="2"/>
  <c r="R54" i="2"/>
  <c r="R53" i="2"/>
  <c r="R52" i="2"/>
  <c r="R51" i="2"/>
  <c r="R32" i="2"/>
  <c r="R31" i="2"/>
  <c r="R60" i="6"/>
  <c r="R59" i="6"/>
  <c r="R58" i="6"/>
  <c r="R57" i="6"/>
  <c r="R56" i="6"/>
  <c r="R28" i="6"/>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<sst xmlns="http://schemas.openxmlformats.org/spreadsheetml/2006/main" count="1571" uniqueCount="321">
  <si>
    <t>Document History</t>
  </si>
  <si>
    <t>Version</t>
  </si>
  <si>
    <t>Modified Date</t>
  </si>
  <si>
    <t>Modified By</t>
  </si>
  <si>
    <t>Approved by</t>
  </si>
  <si>
    <t>Comments</t>
  </si>
  <si>
    <t>Michael Bernardo</t>
  </si>
  <si>
    <t xml:space="preserve">Jef Winfield </t>
  </si>
  <si>
    <t>NPS Guidelines</t>
  </si>
  <si>
    <t xml:space="preserve">Customer Experience </t>
  </si>
  <si>
    <t xml:space="preserve">Polite and Professional </t>
  </si>
  <si>
    <t xml:space="preserve">Controlled the conversation with high level of professionalism. Consistently used the appropriate tone of voice and polite response all throughout the call. Listen generously and thank the customer for the information provided </t>
  </si>
  <si>
    <t xml:space="preserve">Inconsistently showed politeness through the tone of voice and polite response. </t>
  </si>
  <si>
    <t xml:space="preserve">Able to respond to all questions but in a monotoned voice. </t>
  </si>
  <si>
    <t>Monotoned voice, mentioned anything about sensitive topics</t>
  </si>
  <si>
    <t>Explicitly showed rude response to the caller</t>
  </si>
  <si>
    <t>Empathy and Compassion</t>
  </si>
  <si>
    <t xml:space="preserve">Able to capture all the emotions of the caller and respond accordingly all throughout the call. Able to give strong assurance statement that he/she can assist. </t>
  </si>
  <si>
    <t xml:space="preserve">Able to empathize but in an inconsistent manner.  </t>
  </si>
  <si>
    <t xml:space="preserve">Sympathetic rather than empathetic. Failed to acknowledge customer's inputs. </t>
  </si>
  <si>
    <t xml:space="preserve">Only respond with verbal nods or gave inappropriate empathy statement. </t>
  </si>
  <si>
    <t xml:space="preserve">Did not empathize at all. </t>
  </si>
  <si>
    <t xml:space="preserve">Phone Etiquette </t>
  </si>
  <si>
    <t xml:space="preserve">Complete control. Maintained a conversational call all throughout. No interruption, no dead air. </t>
  </si>
  <si>
    <t xml:space="preserve">Minor interruptions and dead air. </t>
  </si>
  <si>
    <t xml:space="preserve">Interrupting the caller while they are explaining or analyst is not explaining the dead air. </t>
  </si>
  <si>
    <t xml:space="preserve">Long pause repeatedly. Multiple interruptions. </t>
  </si>
  <si>
    <t xml:space="preserve">No response at all when asked a question/ Talking over the customer all throughout. </t>
  </si>
  <si>
    <t xml:space="preserve">Essential Skills  </t>
  </si>
  <si>
    <t xml:space="preserve">Total Case Ownership </t>
  </si>
  <si>
    <t>Able to resolve the issue in a reasonable amount of time, or able to properly explain why the call needs to be transferred, or able to provide the best workaround for an issue that has no solution yet.</t>
  </si>
  <si>
    <t xml:space="preserve">Incomplete information of the resolution, reason for transfer and workaround. </t>
  </si>
  <si>
    <t xml:space="preserve">Did not test the resolution, did not transfer the call. </t>
  </si>
  <si>
    <t>Did not provide a resolution or workaround despite there being a resolution, or fails to escalate at all.</t>
  </si>
  <si>
    <t xml:space="preserve">Gives customer an incorrect resolution or unworkable workaround. </t>
  </si>
  <si>
    <t xml:space="preserve">Transparency with the End User/ End User Education </t>
  </si>
  <si>
    <t xml:space="preserve">Able to educate the caller about the issue, educate about the possible reason and able to do a call mapping of the possible solution and all the concerns were addressed </t>
  </si>
  <si>
    <t xml:space="preserve">Able to educate the user with the main issue but did not ask the caller if he/she has any further concerns </t>
  </si>
  <si>
    <t xml:space="preserve">Issue is resolved but did not educate the user about the cause and how it was resolved.  </t>
  </si>
  <si>
    <t xml:space="preserve">Provided the wrong expectation to the caller about the issue.  </t>
  </si>
  <si>
    <t xml:space="preserve">Lied to the customer about the cause of the issue, provided false statements about the workflow </t>
  </si>
  <si>
    <t>Details</t>
  </si>
  <si>
    <t>RATING</t>
  </si>
  <si>
    <t>COMMENTS</t>
  </si>
  <si>
    <t>Score per Parameters</t>
  </si>
  <si>
    <t>Score per Section</t>
  </si>
  <si>
    <t>Other Details</t>
  </si>
  <si>
    <t>Essential Skills</t>
  </si>
  <si>
    <t>Technical Competency</t>
  </si>
  <si>
    <t>Ticket Hygiene</t>
  </si>
  <si>
    <t>Process Adherance</t>
  </si>
  <si>
    <t>ZOEP</t>
  </si>
  <si>
    <t>Total Case Ownership</t>
  </si>
  <si>
    <t>Transparency with the End User &amp; End User Education</t>
  </si>
  <si>
    <t>Correct Issue Diagnosis</t>
  </si>
  <si>
    <t>Accurate &amp; Appropriate Resolution Provided</t>
  </si>
  <si>
    <t>Knowledge Article Correct Usage</t>
  </si>
  <si>
    <t>Ticket History Completeness and Accuracy ( Work Notes)</t>
  </si>
  <si>
    <t>Other Ticket Hygiene Essentials</t>
  </si>
  <si>
    <t>Opening &amp; Closing Procedure</t>
  </si>
  <si>
    <t>Bomgar</t>
  </si>
  <si>
    <t>Call Back Process</t>
  </si>
  <si>
    <t>Supervisor Escalation</t>
  </si>
  <si>
    <t>Protection of Privacy Information</t>
  </si>
  <si>
    <t>All Other Policies</t>
  </si>
  <si>
    <t>Quality Score</t>
  </si>
  <si>
    <t>Incident Number</t>
  </si>
  <si>
    <t>Call Duration</t>
  </si>
  <si>
    <t>Site</t>
  </si>
  <si>
    <t>L1 Analyst</t>
  </si>
  <si>
    <t>Manager Name</t>
  </si>
  <si>
    <t>Feedback Rating</t>
  </si>
  <si>
    <t>NPS Score (if available)</t>
  </si>
  <si>
    <t>Sentiment</t>
  </si>
  <si>
    <t>Verbatim</t>
  </si>
  <si>
    <t>Auditor</t>
  </si>
  <si>
    <t>Monitor Date</t>
  </si>
  <si>
    <t>Kind of Audit</t>
  </si>
  <si>
    <t>Incident Type</t>
  </si>
  <si>
    <t>Workgroup</t>
  </si>
  <si>
    <t>Product</t>
  </si>
  <si>
    <t>Segment ID</t>
  </si>
  <si>
    <t>Contact Type</t>
  </si>
  <si>
    <t>Call Type</t>
  </si>
  <si>
    <t>Transparency with the End User / End User Education</t>
  </si>
  <si>
    <t xml:space="preserve">Accurate &amp; Appropriate Resolution Provided </t>
  </si>
  <si>
    <t>Ticket History Completeness and Accuracy</t>
  </si>
  <si>
    <t>Transferred to workgroup without troubleshooting</t>
  </si>
  <si>
    <t>Failed to asks for confirmation of resolution</t>
  </si>
  <si>
    <t>Failed to set proper expectations</t>
  </si>
  <si>
    <t>Failed to maintain transparency</t>
  </si>
  <si>
    <t>Failed to educate the end user</t>
  </si>
  <si>
    <t>Failed to check if end user needs additional assistance</t>
  </si>
  <si>
    <t>Failed to probe to isolate the issue</t>
  </si>
  <si>
    <t>Failed to use the correct tools for verification</t>
  </si>
  <si>
    <t>Failed to review previous troubleshooting/documentation</t>
  </si>
  <si>
    <t>Incorrect solution/work around</t>
  </si>
  <si>
    <t>Incomplete Troubleshooting</t>
  </si>
  <si>
    <t>Transferred to incorrect workgroup</t>
  </si>
  <si>
    <t>No troubleshooting provided</t>
  </si>
  <si>
    <t>Added unnecessary troubleshooting step</t>
  </si>
  <si>
    <t>Incorrect KI ID</t>
  </si>
  <si>
    <t>Incorrectly used Unable to Find</t>
  </si>
  <si>
    <t>No KI ID indicated</t>
  </si>
  <si>
    <t>Incomplete/Incorrect Triage Tab</t>
  </si>
  <si>
    <t>Failed to document the details of the email/message/schedule that has been sent</t>
  </si>
  <si>
    <t>Failed to provide the reason why a machine replacement is needed</t>
  </si>
  <si>
    <t>Failed to follow call record creation for Ticket Status</t>
  </si>
  <si>
    <t>Incorrect call record Creation</t>
  </si>
  <si>
    <t>Incorrect/incomplete Closure and Reference Tabs</t>
  </si>
  <si>
    <t>Incomplete/Incorrect Notes Tab</t>
  </si>
  <si>
    <t>Failed to include supporting documents/screenshots</t>
  </si>
  <si>
    <t>No machine name</t>
  </si>
  <si>
    <t>Failed to correctly fill up top part of Service Now</t>
  </si>
  <si>
    <t>Failed to follow opening and closing procedure</t>
  </si>
  <si>
    <t>Failed to Disclose the NDA</t>
  </si>
  <si>
    <t>Failed to inform customer that the session will be terminated</t>
  </si>
  <si>
    <t>Failed to follow call back process</t>
  </si>
  <si>
    <t>Failed to adhere to Supervisor Escalation</t>
  </si>
  <si>
    <t>Failed to adhere to Protection of Privacy Information</t>
  </si>
  <si>
    <t>Failed to adhere to the policy</t>
  </si>
  <si>
    <t>No Machine Name</t>
  </si>
  <si>
    <t>Short Description</t>
  </si>
  <si>
    <t>Description</t>
  </si>
  <si>
    <t>Alternate Contact Phone</t>
  </si>
  <si>
    <t>Process Adherence</t>
  </si>
  <si>
    <t>IT SERVICE DESK - TRANSACTION AND PROCESS AUDIT</t>
  </si>
  <si>
    <t>QUALITY SCORE</t>
  </si>
  <si>
    <t>Section 1 : Transactional Audit</t>
  </si>
  <si>
    <t>Reason for Markdown</t>
  </si>
  <si>
    <t xml:space="preserve">Comments </t>
  </si>
  <si>
    <t>Weight</t>
  </si>
  <si>
    <t>Section 1 : Transactional Audit - L2</t>
  </si>
  <si>
    <t>Penalty Earned</t>
  </si>
  <si>
    <t>Total Points</t>
  </si>
  <si>
    <t>Zero Error Operational Policy (ZOEP)</t>
  </si>
  <si>
    <t>Total</t>
  </si>
  <si>
    <t>MARKDOWN</t>
  </si>
  <si>
    <t>Ticket Details</t>
  </si>
  <si>
    <t>Survey Details</t>
  </si>
  <si>
    <t>Audit Details</t>
  </si>
  <si>
    <t>Added unecessary Troubleshooting Step</t>
  </si>
  <si>
    <t>ZOEP2</t>
  </si>
  <si>
    <t>Total Case Ownership3</t>
  </si>
  <si>
    <t>Transparency with the End User / End User Education4</t>
  </si>
  <si>
    <t>Correct Issue Diagnosis5</t>
  </si>
  <si>
    <t>Accurate &amp; Appropriate Resolution Provided 6</t>
  </si>
  <si>
    <t>Knowledge Article Correct Usage7</t>
  </si>
  <si>
    <t>Ticket History Completeness and Accuracy8</t>
  </si>
  <si>
    <t>No Machine Name2</t>
  </si>
  <si>
    <t>Opening &amp; Closing Procedure10</t>
  </si>
  <si>
    <t>Bomgar11</t>
  </si>
  <si>
    <t>Call Back Process12</t>
  </si>
  <si>
    <t>Supervisor Escalation13</t>
  </si>
  <si>
    <t>Protection of Privacy Information14</t>
  </si>
  <si>
    <t>All Other Policies15</t>
  </si>
  <si>
    <t>ZOEP16</t>
  </si>
  <si>
    <t>Total Case Ownership17</t>
  </si>
  <si>
    <t>Transparency with the End User / End User Education18</t>
  </si>
  <si>
    <t>Correct Issue Diagnosis19</t>
  </si>
  <si>
    <t>Knowledge Article Correct Usage20</t>
  </si>
  <si>
    <t>Other Ticket Hygiene Essentials21</t>
  </si>
  <si>
    <t>Opening &amp; Closing Procedure22</t>
  </si>
  <si>
    <t>ZOEP23</t>
  </si>
  <si>
    <t>ZOEP24</t>
  </si>
  <si>
    <t/>
  </si>
  <si>
    <t>Met</t>
  </si>
  <si>
    <t>Not Met</t>
  </si>
  <si>
    <t>US</t>
  </si>
  <si>
    <t>Arvin Cruz</t>
  </si>
  <si>
    <t>Jef Winfield</t>
  </si>
  <si>
    <t>Phone - Inbound</t>
  </si>
  <si>
    <t>4.6</t>
  </si>
  <si>
    <t>Break/fix</t>
  </si>
  <si>
    <t>Mac</t>
  </si>
  <si>
    <t>TBD</t>
  </si>
  <si>
    <t>7 to 10 mins</t>
  </si>
  <si>
    <t>Cebu</t>
  </si>
  <si>
    <t>Cyrus Tubon</t>
  </si>
  <si>
    <t>Alabang</t>
  </si>
  <si>
    <t>Dan Langam</t>
  </si>
  <si>
    <t>Dave Panaligan</t>
  </si>
  <si>
    <t>dfsadf</t>
  </si>
  <si>
    <t>12 to 15 mins</t>
  </si>
  <si>
    <t>Chad Bailey</t>
  </si>
  <si>
    <t>dfsdfa</t>
  </si>
  <si>
    <t>Deep Dive</t>
  </si>
  <si>
    <t>asfdsadf</t>
  </si>
  <si>
    <t>fasf</t>
  </si>
  <si>
    <t>sfadf</t>
  </si>
  <si>
    <t>sdfsadf</t>
  </si>
  <si>
    <t>fsadfsadf</t>
  </si>
  <si>
    <t>Hygiene</t>
  </si>
  <si>
    <t>sdfasdf</t>
  </si>
  <si>
    <t>1dsfasdf</t>
  </si>
  <si>
    <t>sadfsadfasdf</t>
  </si>
  <si>
    <t>safdsadfasdf</t>
  </si>
  <si>
    <t>sdfsadfsa</t>
  </si>
  <si>
    <t>sadfsadf</t>
  </si>
  <si>
    <t>INC00000</t>
  </si>
  <si>
    <t>Calibration</t>
  </si>
  <si>
    <t>Voice</t>
  </si>
  <si>
    <t>MSID</t>
  </si>
  <si>
    <t>EMP ID w/ 0's</t>
  </si>
  <si>
    <t>Name</t>
  </si>
  <si>
    <t>Classification</t>
  </si>
  <si>
    <t>Back Up</t>
  </si>
  <si>
    <t>ITSD Classification</t>
  </si>
  <si>
    <t>Supervisor</t>
  </si>
  <si>
    <t>Hiredate</t>
  </si>
  <si>
    <t>Tenure in Days</t>
  </si>
  <si>
    <t>Audit Req per Month</t>
  </si>
  <si>
    <t>Assigned QA</t>
  </si>
  <si>
    <t>CONTACT TYPE</t>
  </si>
  <si>
    <t>INCIDENT TYPE</t>
  </si>
  <si>
    <t>Business Service</t>
  </si>
  <si>
    <t>Glenely Porras</t>
  </si>
  <si>
    <t>over 15 mins</t>
  </si>
  <si>
    <t>Regular</t>
  </si>
  <si>
    <t>Placed/Received Personal Call</t>
  </si>
  <si>
    <t>Phone - Outbound</t>
  </si>
  <si>
    <t>Password Resets</t>
  </si>
  <si>
    <t>Disconnected Call without Sufficient Reason</t>
  </si>
  <si>
    <t>Leander Roy Pahang</t>
  </si>
  <si>
    <t>Request of information</t>
  </si>
  <si>
    <t>Failure to Answer Call</t>
  </si>
  <si>
    <t>Dante Bantolo</t>
  </si>
  <si>
    <t>Vanessa Trixy Salonga</t>
  </si>
  <si>
    <t>below 7 mins</t>
  </si>
  <si>
    <t>Service Request</t>
  </si>
  <si>
    <t>Failed to Verify Authorized User When Required</t>
  </si>
  <si>
    <t>Erwin Cruz</t>
  </si>
  <si>
    <t>10 to 12 mins</t>
  </si>
  <si>
    <t>Review the Reviewer</t>
  </si>
  <si>
    <t>Workflow</t>
  </si>
  <si>
    <t>Failed to Access Customer Account</t>
  </si>
  <si>
    <t>Ian Lemuel Antenor</t>
  </si>
  <si>
    <t>Follow up</t>
  </si>
  <si>
    <t>Failed to Assist Caller and Transferred Back Into Same Queue</t>
  </si>
  <si>
    <t>Iferjenn Stephen Fonseca</t>
  </si>
  <si>
    <t>Non-Creation of Ticket</t>
  </si>
  <si>
    <t>Jayvee Ardona</t>
  </si>
  <si>
    <t>Failed Correct FCR tagging</t>
  </si>
  <si>
    <t>John Tapia</t>
  </si>
  <si>
    <t>Joseph Villarin</t>
  </si>
  <si>
    <t>Kevin Nazarea</t>
  </si>
  <si>
    <t>Marnie Castro</t>
  </si>
  <si>
    <t>Honey Aventurado</t>
  </si>
  <si>
    <t>Rene Aranas</t>
  </si>
  <si>
    <t>Renz Marco Pasanting</t>
  </si>
  <si>
    <t>Renz Maruquez</t>
  </si>
  <si>
    <t>Reynaldo De Leon Jr</t>
  </si>
  <si>
    <t>Ruby Jean Dela Cerna</t>
  </si>
  <si>
    <t>Sara Hitchcock</t>
  </si>
  <si>
    <t>Scott Safreed</t>
  </si>
  <si>
    <t>Shylle Basalo</t>
  </si>
  <si>
    <t>Tara Johnson</t>
  </si>
  <si>
    <t>NA</t>
  </si>
  <si>
    <t>Verna Desoloc</t>
  </si>
  <si>
    <t>Michelle Claros</t>
  </si>
  <si>
    <t>Joseph Bigcas</t>
  </si>
  <si>
    <t>Jezhrelle Bucas</t>
  </si>
  <si>
    <t>Aaron Venise Malayang</t>
  </si>
  <si>
    <t>Maria Jesusa Dabu</t>
  </si>
  <si>
    <t>Jaminah Salem</t>
  </si>
  <si>
    <t>Marilee Ladringan</t>
  </si>
  <si>
    <t>Jara Jane Jatulan</t>
  </si>
  <si>
    <t>Richie Ann Sevilla</t>
  </si>
  <si>
    <t>Arjie Tidor</t>
  </si>
  <si>
    <t>Maria Susanna Perez</t>
  </si>
  <si>
    <t>Jahnina Aguirre</t>
  </si>
  <si>
    <t>NPS</t>
  </si>
  <si>
    <t>Respondent Type</t>
  </si>
  <si>
    <t>Passive with Pure Positive Sentiment</t>
  </si>
  <si>
    <t>Passive with Mixed Sentiment</t>
  </si>
  <si>
    <t>Passive with Pure Negative Sentiment</t>
  </si>
  <si>
    <t>Passive with No Comment</t>
  </si>
  <si>
    <t>Detractor with Pure Positive Sentiment</t>
  </si>
  <si>
    <t>Detractor with Mixed Sentiment</t>
  </si>
  <si>
    <t>Detractor with Pure Negative Sentiment</t>
  </si>
  <si>
    <t>Detractor with with No Comment</t>
  </si>
  <si>
    <t>No Rating Given</t>
  </si>
  <si>
    <t>Promoter with Pure Positive Sentiment</t>
  </si>
  <si>
    <t>Promoter with Mixed Sentiment</t>
  </si>
  <si>
    <t>Promoter with Pure Negative Sentiment</t>
  </si>
  <si>
    <t>Promoter with No Comment</t>
  </si>
  <si>
    <t>Feedback Classification</t>
  </si>
  <si>
    <t>ITSS - Operations</t>
  </si>
  <si>
    <t>Both Operations and Product</t>
  </si>
  <si>
    <t xml:space="preserve">Others / Neither Operations Nor Product Issue </t>
  </si>
  <si>
    <t>Vague Comment</t>
  </si>
  <si>
    <t>No Comment</t>
  </si>
  <si>
    <t xml:space="preserve">Uncontrollable </t>
  </si>
  <si>
    <t>Ticket History Completeness OR Accuracy ( Work Notes)</t>
  </si>
  <si>
    <t>Ticket History Completeness OR Accuracy</t>
  </si>
  <si>
    <t>Incorrect/incomplete Closure OR Reference Tabs</t>
  </si>
  <si>
    <t>Failed to follow opening OR closing procedure</t>
  </si>
  <si>
    <t>IT SERVICE DESK - TRANSACTION OR PROCESS AUDIT</t>
  </si>
  <si>
    <t>Rating(1-5)</t>
  </si>
  <si>
    <t>Opening Procedure</t>
  </si>
  <si>
    <t>Closing Procedure</t>
  </si>
  <si>
    <t>Remote access</t>
  </si>
  <si>
    <t>Protection of Privacy Information (PII/PHI)</t>
  </si>
  <si>
    <t>Polite and Professional</t>
  </si>
  <si>
    <t>Phone Etiqutte</t>
  </si>
  <si>
    <t>PASS</t>
  </si>
  <si>
    <t>PASS!</t>
  </si>
  <si>
    <t>INC number</t>
  </si>
  <si>
    <t xml:space="preserve"> L1 Analyst</t>
  </si>
  <si>
    <t>Manager</t>
  </si>
  <si>
    <t>fdsafdsa</t>
  </si>
  <si>
    <t>fwewrw</t>
  </si>
  <si>
    <t>dsafdas</t>
  </si>
  <si>
    <t>fds</t>
  </si>
  <si>
    <t>INC055756</t>
  </si>
  <si>
    <t>INC12321321</t>
  </si>
  <si>
    <t>INC32132132</t>
  </si>
  <si>
    <t>eewetrw</t>
  </si>
  <si>
    <t>CEBU</t>
  </si>
  <si>
    <t>MANILA</t>
  </si>
  <si>
    <t>INC8888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</si>
</sst>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m\ d\,\ yyyy;@"/>
    <numFmt numFmtId="165" formatCode="0.0000"/>
    <numFmt numFmtId="166" formatCode="0.000"/>
    <numFmt numFmtId="167" formatCode="0.0"/>
  </numFmts>
  <fonts count="26" x14ac:knownFonts="1">
    <font>
      <sz val="11"/>
      <color theme="1"/>
      <name val="Calibri"/>
      <family val="2"/>
      <scheme val="minor"/>
    </font>
    <font>
      <sz val="11"/>
      <color theme="1"/>
      <name val="Calibri"/>
      <family val="2"/>
      <scheme val="minor"/>
    </font>
    <font>
      <sz val="9"/>
      <color theme="1"/>
      <name val="Calibri"/>
      <family val="2"/>
      <scheme val="minor"/>
    </font>
    <font>
      <sz val="8"/>
      <name val="Calibri"/>
      <family val="2"/>
      <scheme val="minor"/>
    </font>
    <font>
      <sz val="8"/>
      <color theme="1"/>
      <name val="Calibri"/>
      <family val="2"/>
      <scheme val="minor"/>
    </font>
    <font>
      <sz val="10"/>
      <color theme="1"/>
      <name val="Calibri"/>
      <family val="2"/>
      <scheme val="minor"/>
    </font>
    <font>
      <b/>
      <sz val="16"/>
      <color theme="0" tint="-4.9989318521683403E-2"/>
      <name val="Calibri"/>
      <family val="2"/>
      <scheme val="minor"/>
    </font>
    <font>
      <sz val="10"/>
      <name val="Calibri"/>
      <family val="2"/>
      <scheme val="minor"/>
    </font>
    <font>
      <b/>
      <sz val="10"/>
      <color theme="0" tint="-4.9989318521683403E-2"/>
      <name val="Calibri"/>
      <family val="2"/>
      <scheme val="minor"/>
    </font>
    <font>
      <b/>
      <sz val="10"/>
      <name val="Calibri"/>
      <family val="2"/>
      <scheme val="minor"/>
    </font>
    <font>
      <sz val="10"/>
      <color indexed="10"/>
      <name val="Calibri"/>
      <family val="2"/>
      <scheme val="minor"/>
    </font>
    <font>
      <b/>
      <sz val="18"/>
      <name val="Calibri"/>
      <family val="2"/>
      <scheme val="minor"/>
    </font>
    <font>
      <sz val="10"/>
      <color theme="0"/>
      <name val="Calibri"/>
      <family val="2"/>
      <scheme val="minor"/>
    </font>
    <font>
      <sz val="8"/>
      <color rgb="FFFFFFFF"/>
      <name val="Segoe UI"/>
      <family val="2"/>
    </font>
    <font>
      <b/>
      <sz val="10"/>
      <color theme="1"/>
      <name val="Calibri"/>
      <family val="2"/>
      <scheme val="minor"/>
    </font>
    <font>
      <b/>
      <sz val="14"/>
      <color theme="1"/>
      <name val="Calibri"/>
      <family val="2"/>
      <scheme val="minor"/>
    </font>
    <font>
      <b/>
      <sz val="9"/>
      <color theme="1"/>
      <name val="Calibri"/>
      <family val="2"/>
      <scheme val="minor"/>
    </font>
    <font>
      <b/>
      <sz val="11"/>
      <color theme="1"/>
      <name val="Calibri"/>
      <family val="2"/>
      <scheme val="minor"/>
    </font>
    <font>
      <b/>
      <sz val="11"/>
      <name val="Calibri"/>
      <family val="2"/>
      <scheme val="minor"/>
    </font>
    <font>
      <sz val="8"/>
      <color rgb="FF000000"/>
      <name val="Segoe UI"/>
      <family val="2"/>
    </font>
    <font>
      <sz val="11"/>
      <color rgb="FF000000"/>
      <name val="Calibri"/>
      <family val="2"/>
    </font>
    <font>
      <sz val="1"/>
      <color theme="1"/>
      <name val="Calibri"/>
      <family val="2"/>
      <scheme val="minor"/>
    </font>
    <font>
      <sz val="11"/>
      <color theme="0"/>
      <name val="Calibri"/>
      <family val="2"/>
      <scheme val="minor"/>
    </font>
    <font>
      <sz val="1"/>
      <color theme="0"/>
      <name val="Calibri"/>
      <family val="2"/>
      <scheme val="minor"/>
    </font>
    <font>
      <b/>
      <u val="double"/>
      <sz val="28"/>
      <color theme="1"/>
      <name val="Calibri"/>
      <family val="2"/>
      <scheme val="minor"/>
    </font>
    <font>
      <b/>
      <u val="double"/>
      <sz val="28"/>
      <name val="Calibri"/>
      <family val="2"/>
      <scheme val="minor"/>
    </font>
  </fonts>
  <fills count="26">
    <fill>
      <patternFill patternType="none"/>
    </fill>
    <fill>
      <patternFill patternType="gray125"/>
    </fill>
    <fill>
      <patternFill patternType="solid">
        <fgColor theme="5"/>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7"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rgb="FFFFFF00"/>
        <bgColor indexed="64"/>
      </patternFill>
    </fill>
    <fill>
      <patternFill patternType="solid">
        <fgColor theme="1" tint="0.499984740745262"/>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DFBCF"/>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0" tint="-0.14996795556505021"/>
        <bgColor indexed="64"/>
      </patternFill>
    </fill>
    <fill>
      <patternFill patternType="solid">
        <fgColor theme="2"/>
        <bgColor indexed="64"/>
      </patternFill>
    </fill>
    <fill>
      <patternFill patternType="solid">
        <fgColor theme="0"/>
        <bgColor auto="1"/>
      </patternFill>
    </fill>
    <fill>
      <patternFill patternType="solid">
        <fgColor rgb="FFFFFFCC"/>
      </patternFill>
    </fill>
    <fill>
      <patternFill patternType="solid">
        <fgColor theme="4"/>
      </patternFill>
    </fill>
  </fills>
  <borders count="1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theme="1"/>
      </bottom>
      <diagonal/>
    </border>
    <border>
      <left/>
      <right/>
      <top/>
      <bottom style="thin">
        <color theme="1"/>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indexed="64"/>
      </left>
      <right style="hair">
        <color theme="1" tint="0.24994659260841701"/>
      </right>
      <top style="thin">
        <color indexed="64"/>
      </top>
      <bottom style="hair">
        <color theme="1" tint="0.24994659260841701"/>
      </bottom>
      <diagonal/>
    </border>
    <border>
      <left style="hair">
        <color theme="1" tint="0.24994659260841701"/>
      </left>
      <right style="thin">
        <color indexed="64"/>
      </right>
      <top style="thin">
        <color indexed="64"/>
      </top>
      <bottom style="hair">
        <color theme="1" tint="0.24994659260841701"/>
      </bottom>
      <diagonal/>
    </border>
    <border>
      <left style="hair">
        <color theme="1" tint="0.24994659260841701"/>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theme="1" tint="0.24994659260841701"/>
      </right>
      <top style="hair">
        <color theme="1" tint="0.24994659260841701"/>
      </top>
      <bottom style="hair">
        <color theme="1" tint="0.24994659260841701"/>
      </bottom>
      <diagonal/>
    </border>
    <border>
      <left style="hair">
        <color theme="1" tint="0.24994659260841701"/>
      </left>
      <right style="thin">
        <color indexed="64"/>
      </right>
      <top style="hair">
        <color theme="1" tint="0.24994659260841701"/>
      </top>
      <bottom style="hair">
        <color theme="1" tint="0.24994659260841701"/>
      </bottom>
      <diagonal/>
    </border>
    <border>
      <left style="hair">
        <color theme="1" tint="0.24994659260841701"/>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hair">
        <color theme="1" tint="0.24994659260841701"/>
      </right>
      <top style="hair">
        <color theme="1" tint="0.24994659260841701"/>
      </top>
      <bottom style="thin">
        <color indexed="64"/>
      </bottom>
      <diagonal/>
    </border>
    <border>
      <left style="hair">
        <color theme="1" tint="0.24994659260841701"/>
      </left>
      <right/>
      <top/>
      <bottom style="thin">
        <color indexed="64"/>
      </bottom>
      <diagonal/>
    </border>
    <border>
      <left/>
      <right style="thin">
        <color indexed="64"/>
      </right>
      <top/>
      <bottom style="thin">
        <color indexed="64"/>
      </bottom>
      <diagonal/>
    </border>
    <border>
      <left style="hair">
        <color theme="1" tint="0.24994659260841701"/>
      </left>
      <right style="thin">
        <color indexed="64"/>
      </right>
      <top style="hair">
        <color theme="1" tint="0.24994659260841701"/>
      </top>
      <bottom style="thin">
        <color indexed="64"/>
      </bottom>
      <diagonal/>
    </border>
    <border>
      <left style="hair">
        <color theme="1" tint="0.24994659260841701"/>
      </left>
      <right style="thin">
        <color indexed="64"/>
      </right>
      <top style="thin">
        <color indexed="64"/>
      </top>
      <bottom style="hair">
        <color theme="1"/>
      </bottom>
      <diagonal/>
    </border>
    <border>
      <left style="hair">
        <color theme="1" tint="0.24994659260841701"/>
      </left>
      <right style="thin">
        <color indexed="64"/>
      </right>
      <top style="hair">
        <color theme="1"/>
      </top>
      <bottom style="hair">
        <color theme="1"/>
      </bottom>
      <diagonal/>
    </border>
    <border>
      <left style="hair">
        <color theme="1" tint="0.24994659260841701"/>
      </left>
      <right style="thin">
        <color indexed="64"/>
      </right>
      <top/>
      <bottom style="hair">
        <color theme="1" tint="0.24994659260841701"/>
      </bottom>
      <diagonal/>
    </border>
    <border>
      <left style="thin">
        <color indexed="64"/>
      </left>
      <right style="hair">
        <color theme="1" tint="0.24994659260841701"/>
      </right>
      <top style="hair">
        <color theme="1" tint="0.24994659260841701"/>
      </top>
      <bottom/>
      <diagonal/>
    </border>
    <border>
      <left style="hair">
        <color theme="1" tint="0.24994659260841701"/>
      </left>
      <right style="thin">
        <color indexed="64"/>
      </right>
      <top style="hair">
        <color theme="1" tint="0.24994659260841701"/>
      </top>
      <bottom/>
      <diagonal/>
    </border>
    <border>
      <left style="thin">
        <color indexed="64"/>
      </left>
      <right style="hair">
        <color theme="1" tint="0.24994659260841701"/>
      </right>
      <top/>
      <bottom/>
      <diagonal/>
    </border>
    <border>
      <left style="hair">
        <color theme="1" tint="0.24994659260841701"/>
      </left>
      <right style="thin">
        <color indexed="64"/>
      </right>
      <top/>
      <bottom/>
      <diagonal/>
    </border>
    <border>
      <left style="thin">
        <color indexed="64"/>
      </left>
      <right style="hair">
        <color theme="1" tint="0.24994659260841701"/>
      </right>
      <top/>
      <bottom style="thin">
        <color indexed="64"/>
      </bottom>
      <diagonal/>
    </border>
    <border>
      <left style="hair">
        <color theme="1" tint="0.24994659260841701"/>
      </left>
      <right style="thin">
        <color indexed="64"/>
      </right>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18"/>
      </right>
      <top style="medium">
        <color indexed="64"/>
      </top>
      <bottom style="thin">
        <color indexed="64"/>
      </bottom>
      <diagonal/>
    </border>
    <border>
      <left style="thin">
        <color indexed="18"/>
      </left>
      <right style="medium">
        <color indexed="64"/>
      </right>
      <top style="medium">
        <color indexed="64"/>
      </top>
      <bottom style="thin">
        <color indexed="18"/>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indexed="64"/>
      </left>
      <right style="medium">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thin">
        <color indexed="64"/>
      </bottom>
      <diagonal/>
    </border>
    <border>
      <left style="thin">
        <color indexed="64"/>
      </left>
      <right style="medium">
        <color indexed="64"/>
      </right>
      <top style="hair">
        <color indexed="64"/>
      </top>
      <bottom/>
      <diagonal/>
    </border>
    <border>
      <left style="thin">
        <color indexed="64"/>
      </left>
      <right style="medium">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style="double">
        <color indexed="64"/>
      </right>
      <top/>
      <bottom style="double">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hair">
        <color theme="1" tint="0.24994659260841701"/>
      </right>
      <top style="hair">
        <color theme="1" tint="0.24994659260841701"/>
      </top>
      <bottom style="hair">
        <color indexed="64"/>
      </bottom>
      <diagonal/>
    </border>
    <border>
      <left style="hair">
        <color indexed="64"/>
      </left>
      <right style="thin">
        <color indexed="64"/>
      </right>
      <top style="thin">
        <color indexed="64"/>
      </top>
      <bottom style="thin">
        <color indexed="64"/>
      </bottom>
      <diagonal/>
    </border>
    <border>
      <left/>
      <right style="hair">
        <color theme="1" tint="0.24994659260841701"/>
      </right>
      <top style="hair">
        <color indexed="64"/>
      </top>
      <bottom style="hair">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theme="1"/>
      </right>
      <top/>
      <bottom style="thin">
        <color theme="1"/>
      </bottom>
      <diagonal/>
    </border>
    <border>
      <left style="thin">
        <color theme="1"/>
      </left>
      <right/>
      <top/>
      <bottom style="thin">
        <color theme="1"/>
      </bottom>
      <diagonal/>
    </border>
    <border>
      <left style="thin">
        <color theme="1"/>
      </left>
      <right/>
      <top/>
      <bottom/>
      <diagonal/>
    </border>
    <border>
      <left/>
      <right/>
      <top style="double">
        <color indexed="64"/>
      </top>
      <bottom style="double">
        <color indexed="64"/>
      </bottom>
      <diagonal/>
    </border>
    <border>
      <left style="double">
        <color indexed="64"/>
      </left>
      <right/>
      <top/>
      <bottom/>
      <diagonal/>
    </border>
    <border>
      <left style="hair">
        <color indexed="64"/>
      </left>
      <right style="hair">
        <color indexed="64"/>
      </right>
      <top/>
      <bottom/>
      <diagonal/>
    </border>
    <border>
      <left/>
      <right style="medium">
        <color indexed="64"/>
      </right>
      <top/>
      <bottom/>
      <diagonal/>
    </border>
    <border>
      <left style="thin">
        <color theme="1"/>
      </left>
      <right/>
      <top style="thin">
        <color indexed="64"/>
      </top>
      <bottom style="thin">
        <color theme="1"/>
      </bottom>
      <diagonal/>
    </border>
    <border>
      <left/>
      <right/>
      <top style="thin">
        <color indexed="64"/>
      </top>
      <bottom style="thin">
        <color theme="1"/>
      </bottom>
      <diagonal/>
    </border>
    <border>
      <left/>
      <right style="thin">
        <color theme="1"/>
      </right>
      <top style="thin">
        <color indexed="64"/>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hair">
        <color theme="1" tint="0.24994659260841701"/>
      </right>
      <top style="thin">
        <color indexed="64"/>
      </top>
      <bottom style="hair">
        <color theme="1" tint="0.24994659260841701"/>
      </bottom>
      <diagonal/>
    </border>
    <border>
      <left style="medium">
        <color indexed="64"/>
      </left>
      <right style="hair">
        <color theme="1" tint="0.24994659260841701"/>
      </right>
      <top style="hair">
        <color theme="1" tint="0.24994659260841701"/>
      </top>
      <bottom style="hair">
        <color theme="1" tint="0.24994659260841701"/>
      </bottom>
      <diagonal/>
    </border>
    <border>
      <left style="medium">
        <color indexed="64"/>
      </left>
      <right style="hair">
        <color theme="1" tint="0.24994659260841701"/>
      </right>
      <top style="hair">
        <color theme="1" tint="0.24994659260841701"/>
      </top>
      <bottom style="thin">
        <color indexed="64"/>
      </bottom>
      <diagonal/>
    </border>
    <border>
      <left style="medium">
        <color indexed="64"/>
      </left>
      <right style="hair">
        <color theme="1" tint="0.24994659260841701"/>
      </right>
      <top style="hair">
        <color theme="1" tint="0.24994659260841701"/>
      </top>
      <bottom/>
      <diagonal/>
    </border>
    <border>
      <left style="medium">
        <color indexed="64"/>
      </left>
      <right style="hair">
        <color theme="1" tint="0.24994659260841701"/>
      </right>
      <top/>
      <bottom/>
      <diagonal/>
    </border>
    <border>
      <left style="medium">
        <color indexed="64"/>
      </left>
      <right style="hair">
        <color theme="1" tint="0.24994659260841701"/>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18"/>
      </right>
      <top style="medium">
        <color indexed="64"/>
      </top>
      <bottom/>
      <diagonal/>
    </border>
    <border>
      <left style="thin">
        <color indexed="18"/>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9" fontId="1" fillId="0" borderId="0" applyFont="0" applyFill="0" applyBorder="0" applyAlignment="0" applyProtection="0"/>
    <xf numFmtId="0" fontId="1" fillId="24" borderId="111" applyNumberFormat="0" applyFont="0" applyAlignment="0" applyProtection="0"/>
    <xf numFmtId="0" fontId="22" fillId="25" borderId="0" applyNumberFormat="0" applyBorder="0" applyAlignment="0" applyProtection="0"/>
  </cellStyleXfs>
  <cellXfs count="439">
    <xf numFmtId="0" fontId="0" fillId="0" borderId="0" xfId="0"/>
    <xf numFmtId="0" fontId="2" fillId="0" borderId="0" xfId="0" applyFont="1" applyAlignment="1">
      <alignment horizontal="left" vertical="center"/>
    </xf>
    <xf numFmtId="0" fontId="2" fillId="2" borderId="0" xfId="0" applyFont="1" applyFill="1" applyAlignment="1">
      <alignment horizontal="left" vertical="center"/>
    </xf>
    <xf numFmtId="164" fontId="2" fillId="0" borderId="0" xfId="0" applyNumberFormat="1" applyFont="1" applyAlignment="1">
      <alignment horizontal="left" vertical="center"/>
    </xf>
    <xf numFmtId="14" fontId="2" fillId="0" borderId="0" xfId="0" applyNumberFormat="1" applyFont="1" applyAlignment="1">
      <alignment horizontal="left" vertical="center"/>
    </xf>
    <xf numFmtId="0" fontId="3" fillId="0" borderId="1" xfId="0" applyFont="1" applyBorder="1" applyProtection="1">
      <protection hidden="1"/>
    </xf>
    <xf numFmtId="0" fontId="4" fillId="0" borderId="0" xfId="0" applyFont="1"/>
    <xf numFmtId="0" fontId="3" fillId="0" borderId="10" xfId="0" applyFont="1" applyBorder="1" applyProtection="1">
      <protection hidden="1"/>
    </xf>
    <xf numFmtId="0" fontId="3" fillId="0" borderId="7" xfId="0" applyFont="1" applyBorder="1" applyProtection="1">
      <protection hidden="1"/>
    </xf>
    <xf numFmtId="0" fontId="3" fillId="0" borderId="8" xfId="0" applyFont="1" applyBorder="1" applyProtection="1">
      <protection hidden="1"/>
    </xf>
    <xf numFmtId="0" fontId="3" fillId="0" borderId="12" xfId="0" applyFont="1" applyBorder="1" applyProtection="1">
      <protection hidden="1"/>
    </xf>
    <xf numFmtId="0" fontId="4" fillId="0" borderId="7" xfId="0" applyFont="1" applyBorder="1"/>
    <xf numFmtId="0" fontId="4" fillId="0" borderId="13" xfId="0" applyFont="1" applyBorder="1"/>
    <xf numFmtId="0" fontId="4" fillId="0" borderId="8" xfId="0" applyFont="1" applyBorder="1"/>
    <xf numFmtId="0" fontId="4" fillId="0" borderId="9" xfId="0" applyFont="1" applyBorder="1"/>
    <xf numFmtId="2" fontId="4" fillId="0" borderId="7" xfId="0" applyNumberFormat="1" applyFont="1" applyBorder="1"/>
    <xf numFmtId="14" fontId="4" fillId="0" borderId="7" xfId="0" applyNumberFormat="1" applyFont="1" applyBorder="1"/>
    <xf numFmtId="0" fontId="5" fillId="0" borderId="0" xfId="0" applyFont="1"/>
    <xf numFmtId="0" fontId="2" fillId="0" borderId="0" xfId="0" applyFont="1"/>
    <xf numFmtId="0" fontId="7" fillId="0" borderId="0" xfId="0" applyFont="1" applyProtection="1">
      <protection hidden="1"/>
    </xf>
    <xf numFmtId="0" fontId="5" fillId="0" borderId="0" xfId="0" applyFont="1" applyProtection="1">
      <protection hidden="1"/>
    </xf>
    <xf numFmtId="0" fontId="8" fillId="3" borderId="14" xfId="0" applyFont="1" applyFill="1" applyBorder="1" applyAlignment="1" applyProtection="1">
      <alignment vertical="center"/>
      <protection hidden="1"/>
    </xf>
    <xf numFmtId="0" fontId="7" fillId="0" borderId="15" xfId="0" applyFont="1" applyBorder="1" applyAlignment="1" applyProtection="1">
      <alignment horizontal="left" vertical="center"/>
      <protection locked="0"/>
    </xf>
    <xf numFmtId="0" fontId="9" fillId="0" borderId="0" xfId="0" applyFont="1" applyAlignment="1" applyProtection="1">
      <alignment horizontal="center" vertical="center"/>
      <protection hidden="1"/>
    </xf>
    <xf numFmtId="0" fontId="9" fillId="0" borderId="0" xfId="0" applyFont="1" applyProtection="1">
      <protection hidden="1"/>
    </xf>
    <xf numFmtId="0" fontId="8" fillId="3" borderId="18" xfId="0" applyFont="1" applyFill="1" applyBorder="1" applyAlignment="1" applyProtection="1">
      <alignment vertical="center"/>
      <protection hidden="1"/>
    </xf>
    <xf numFmtId="0" fontId="9" fillId="0" borderId="0" xfId="0" applyFont="1" applyAlignment="1" applyProtection="1">
      <alignment horizontal="left"/>
      <protection hidden="1"/>
    </xf>
    <xf numFmtId="0" fontId="8" fillId="3" borderId="22" xfId="0" applyFont="1" applyFill="1" applyBorder="1" applyAlignment="1" applyProtection="1">
      <alignment vertical="center"/>
      <protection hidden="1"/>
    </xf>
    <xf numFmtId="0" fontId="8" fillId="0" borderId="0" xfId="0" applyFont="1" applyAlignment="1" applyProtection="1">
      <alignment vertical="center"/>
      <protection hidden="1"/>
    </xf>
    <xf numFmtId="0" fontId="7" fillId="0" borderId="0" xfId="0" applyFont="1" applyAlignment="1" applyProtection="1">
      <alignment horizontal="left" vertical="center"/>
      <protection hidden="1"/>
    </xf>
    <xf numFmtId="0" fontId="7" fillId="0" borderId="0" xfId="0" applyFont="1" applyAlignment="1" applyProtection="1">
      <alignment horizontal="center"/>
      <protection hidden="1"/>
    </xf>
    <xf numFmtId="0" fontId="7" fillId="0" borderId="0" xfId="0" applyFont="1" applyAlignment="1" applyProtection="1">
      <alignment vertical="center"/>
      <protection hidden="1"/>
    </xf>
    <xf numFmtId="0" fontId="7" fillId="0" borderId="0" xfId="0" applyFont="1" applyAlignment="1" applyProtection="1">
      <alignment horizontal="center" vertical="center"/>
      <protection hidden="1"/>
    </xf>
    <xf numFmtId="14" fontId="7" fillId="0" borderId="0" xfId="0" applyNumberFormat="1" applyFont="1" applyAlignment="1" applyProtection="1">
      <alignment horizontal="center" vertical="center"/>
      <protection hidden="1"/>
    </xf>
    <xf numFmtId="0" fontId="10" fillId="0" borderId="0" xfId="0" applyFont="1" applyAlignment="1" applyProtection="1">
      <alignment horizontal="center" vertical="center"/>
      <protection hidden="1"/>
    </xf>
    <xf numFmtId="21" fontId="7" fillId="0" borderId="0" xfId="0" applyNumberFormat="1" applyFont="1" applyAlignment="1" applyProtection="1">
      <alignment horizontal="center" vertical="center"/>
      <protection hidden="1"/>
    </xf>
    <xf numFmtId="0" fontId="9" fillId="7" borderId="0" xfId="0" applyFont="1" applyFill="1" applyAlignment="1" applyProtection="1">
      <alignment horizontal="left"/>
      <protection locked="0"/>
    </xf>
    <xf numFmtId="0" fontId="7" fillId="7" borderId="0" xfId="0" applyFont="1" applyFill="1" applyProtection="1">
      <protection locked="0"/>
    </xf>
    <xf numFmtId="0" fontId="7" fillId="7" borderId="0" xfId="0" applyFont="1" applyFill="1" applyAlignment="1" applyProtection="1">
      <alignment horizontal="left"/>
      <protection locked="0"/>
    </xf>
    <xf numFmtId="0" fontId="8" fillId="6" borderId="37" xfId="0" applyFont="1" applyFill="1" applyBorder="1" applyAlignment="1" applyProtection="1">
      <alignment horizontal="center"/>
      <protection locked="0" hidden="1"/>
    </xf>
    <xf numFmtId="0" fontId="8" fillId="6" borderId="41" xfId="0" applyFont="1" applyFill="1" applyBorder="1" applyAlignment="1" applyProtection="1">
      <alignment horizontal="center" vertical="center"/>
      <protection hidden="1"/>
    </xf>
    <xf numFmtId="0" fontId="5" fillId="6" borderId="1" xfId="0" applyFont="1" applyFill="1" applyBorder="1" applyAlignment="1">
      <alignment horizontal="center" vertical="center"/>
    </xf>
    <xf numFmtId="0" fontId="7" fillId="7" borderId="57" xfId="0" applyFont="1" applyFill="1" applyBorder="1" applyAlignment="1" applyProtection="1">
      <alignment horizontal="left" vertical="center"/>
      <protection hidden="1"/>
    </xf>
    <xf numFmtId="0" fontId="2" fillId="10" borderId="0" xfId="0" applyFont="1" applyFill="1"/>
    <xf numFmtId="0" fontId="9" fillId="7" borderId="1" xfId="0" applyFont="1" applyFill="1" applyBorder="1" applyAlignment="1" applyProtection="1">
      <alignment horizontal="left" vertical="center"/>
      <protection hidden="1"/>
    </xf>
    <xf numFmtId="0" fontId="4" fillId="0" borderId="8" xfId="0" applyFont="1" applyBorder="1" applyAlignment="1">
      <alignment horizontal="center"/>
    </xf>
    <xf numFmtId="0" fontId="2" fillId="0" borderId="0" xfId="0" applyFont="1" applyAlignment="1">
      <alignment vertical="center" wrapText="1"/>
    </xf>
    <xf numFmtId="0" fontId="2" fillId="0" borderId="0" xfId="0" applyFont="1" applyAlignment="1">
      <alignment vertical="center"/>
    </xf>
    <xf numFmtId="0" fontId="2" fillId="12" borderId="0" xfId="0" applyFont="1" applyFill="1"/>
    <xf numFmtId="0" fontId="2" fillId="12" borderId="0" xfId="0" applyFont="1" applyFill="1" applyAlignment="1">
      <alignment vertical="center" wrapText="1"/>
    </xf>
    <xf numFmtId="0" fontId="8" fillId="3" borderId="33" xfId="0" applyFont="1" applyFill="1" applyBorder="1" applyAlignment="1" applyProtection="1">
      <alignment vertical="center"/>
      <protection hidden="1"/>
    </xf>
    <xf numFmtId="0" fontId="8" fillId="3" borderId="72" xfId="0" applyFont="1" applyFill="1" applyBorder="1" applyAlignment="1" applyProtection="1">
      <alignment vertical="center"/>
      <protection hidden="1"/>
    </xf>
    <xf numFmtId="0" fontId="6" fillId="3" borderId="2" xfId="0" applyFont="1" applyFill="1" applyBorder="1" applyAlignment="1" applyProtection="1">
      <alignment horizontal="center" vertical="center"/>
      <protection hidden="1"/>
    </xf>
    <xf numFmtId="0" fontId="7" fillId="0" borderId="46" xfId="0" applyFont="1" applyBorder="1" applyProtection="1">
      <protection hidden="1"/>
    </xf>
    <xf numFmtId="0" fontId="8" fillId="3" borderId="74" xfId="0" applyFont="1" applyFill="1" applyBorder="1" applyAlignment="1" applyProtection="1">
      <alignment vertical="center"/>
      <protection hidden="1"/>
    </xf>
    <xf numFmtId="0" fontId="7" fillId="0" borderId="45" xfId="0" applyFont="1" applyBorder="1" applyAlignment="1" applyProtection="1">
      <alignment horizontal="center" vertical="center"/>
      <protection hidden="1"/>
    </xf>
    <xf numFmtId="0" fontId="7" fillId="0" borderId="19" xfId="0" applyFont="1" applyBorder="1" applyAlignment="1" applyProtection="1">
      <alignment horizontal="left" vertical="center"/>
      <protection locked="0"/>
    </xf>
    <xf numFmtId="0" fontId="7" fillId="13" borderId="25" xfId="0" applyFont="1" applyFill="1" applyBorder="1" applyAlignment="1" applyProtection="1">
      <alignment horizontal="left" vertical="center"/>
      <protection hidden="1"/>
    </xf>
    <xf numFmtId="0" fontId="7" fillId="13" borderId="19" xfId="0" applyFont="1" applyFill="1" applyBorder="1" applyAlignment="1" applyProtection="1">
      <alignment horizontal="left" vertical="center"/>
      <protection hidden="1"/>
    </xf>
    <xf numFmtId="0" fontId="9" fillId="7" borderId="76" xfId="0" applyFont="1" applyFill="1" applyBorder="1" applyAlignment="1" applyProtection="1">
      <alignment vertical="center"/>
      <protection hidden="1"/>
    </xf>
    <xf numFmtId="9" fontId="7" fillId="7" borderId="77" xfId="0" applyNumberFormat="1" applyFont="1" applyFill="1" applyBorder="1" applyAlignment="1" applyProtection="1">
      <alignment horizontal="center" vertical="center"/>
      <protection hidden="1"/>
    </xf>
    <xf numFmtId="0" fontId="12" fillId="7" borderId="45" xfId="0" applyFont="1" applyFill="1" applyBorder="1" applyAlignment="1" applyProtection="1">
      <alignment horizontal="right" vertical="center"/>
      <protection locked="0"/>
    </xf>
    <xf numFmtId="0" fontId="12" fillId="7" borderId="48" xfId="0" applyFont="1" applyFill="1" applyBorder="1" applyAlignment="1" applyProtection="1">
      <alignment horizontal="right" vertical="center"/>
      <protection locked="0"/>
    </xf>
    <xf numFmtId="0" fontId="12" fillId="7" borderId="1" xfId="0" applyFont="1" applyFill="1" applyBorder="1" applyAlignment="1" applyProtection="1">
      <alignment horizontal="right" vertical="center"/>
      <protection locked="0"/>
    </xf>
    <xf numFmtId="0" fontId="7" fillId="7" borderId="1" xfId="0" applyFont="1" applyFill="1" applyBorder="1" applyAlignment="1" applyProtection="1">
      <alignment horizontal="center" vertical="center"/>
      <protection hidden="1"/>
    </xf>
    <xf numFmtId="0" fontId="7" fillId="7" borderId="57" xfId="0" applyFont="1" applyFill="1" applyBorder="1" applyAlignment="1" applyProtection="1">
      <alignment horizontal="center" vertical="center"/>
      <protection hidden="1"/>
    </xf>
    <xf numFmtId="0" fontId="4" fillId="0" borderId="80" xfId="0" applyFont="1" applyBorder="1" applyAlignment="1">
      <alignment horizontal="center"/>
    </xf>
    <xf numFmtId="0" fontId="4" fillId="0" borderId="48" xfId="0" applyFont="1" applyBorder="1" applyAlignment="1">
      <alignment horizontal="center"/>
    </xf>
    <xf numFmtId="0" fontId="4" fillId="0" borderId="1" xfId="0" applyFont="1" applyBorder="1"/>
    <xf numFmtId="0" fontId="4" fillId="0" borderId="2" xfId="0" applyFont="1" applyBorder="1"/>
    <xf numFmtId="0" fontId="4" fillId="0" borderId="79" xfId="0" applyFont="1" applyBorder="1"/>
    <xf numFmtId="165" fontId="5" fillId="0" borderId="0" xfId="0" applyNumberFormat="1" applyFont="1"/>
    <xf numFmtId="0" fontId="3" fillId="13" borderId="62" xfId="0" applyFont="1" applyFill="1" applyBorder="1" applyAlignment="1" applyProtection="1">
      <alignment horizontal="center" vertical="center"/>
      <protection hidden="1"/>
    </xf>
    <xf numFmtId="0" fontId="3" fillId="14" borderId="62" xfId="0" applyFont="1" applyFill="1" applyBorder="1" applyAlignment="1" applyProtection="1">
      <alignment horizontal="center" vertical="center"/>
      <protection hidden="1"/>
    </xf>
    <xf numFmtId="0" fontId="4" fillId="14" borderId="62" xfId="0" applyFont="1" applyFill="1" applyBorder="1" applyAlignment="1">
      <alignment horizontal="center" vertical="center"/>
    </xf>
    <xf numFmtId="0" fontId="3" fillId="12" borderId="62" xfId="0" applyFont="1" applyFill="1" applyBorder="1" applyAlignment="1" applyProtection="1">
      <alignment horizontal="center"/>
      <protection hidden="1"/>
    </xf>
    <xf numFmtId="0" fontId="4" fillId="8" borderId="62" xfId="0" applyFont="1" applyFill="1" applyBorder="1" applyAlignment="1">
      <alignment horizontal="center"/>
    </xf>
    <xf numFmtId="0" fontId="4" fillId="15" borderId="62" xfId="0" applyFont="1" applyFill="1" applyBorder="1" applyAlignment="1">
      <alignment vertical="center"/>
    </xf>
    <xf numFmtId="0" fontId="4" fillId="15" borderId="71" xfId="0" applyFont="1" applyFill="1" applyBorder="1" applyAlignment="1">
      <alignment vertical="center"/>
    </xf>
    <xf numFmtId="0" fontId="4" fillId="15" borderId="70" xfId="0" applyFont="1" applyFill="1" applyBorder="1" applyAlignment="1">
      <alignment vertical="center"/>
    </xf>
    <xf numFmtId="0" fontId="4" fillId="15" borderId="81" xfId="0" applyFont="1" applyFill="1" applyBorder="1" applyAlignment="1">
      <alignment vertical="center"/>
    </xf>
    <xf numFmtId="0" fontId="4" fillId="0" borderId="82" xfId="0" applyFont="1" applyBorder="1"/>
    <xf numFmtId="0" fontId="4" fillId="16" borderId="62" xfId="0" applyFont="1" applyFill="1" applyBorder="1" applyAlignment="1">
      <alignment horizontal="center" vertical="center"/>
    </xf>
    <xf numFmtId="0" fontId="4" fillId="16" borderId="81" xfId="0" applyFont="1" applyFill="1" applyBorder="1" applyAlignment="1">
      <alignment horizontal="center" vertical="center"/>
    </xf>
    <xf numFmtId="0" fontId="4" fillId="16" borderId="70" xfId="0" applyFont="1" applyFill="1" applyBorder="1" applyAlignment="1">
      <alignment horizontal="center" vertical="center"/>
    </xf>
    <xf numFmtId="0" fontId="4" fillId="16" borderId="71" xfId="0" applyFont="1" applyFill="1" applyBorder="1" applyAlignment="1">
      <alignment horizontal="center" vertical="center"/>
    </xf>
    <xf numFmtId="14" fontId="4" fillId="0" borderId="9" xfId="0" applyNumberFormat="1" applyFont="1" applyBorder="1"/>
    <xf numFmtId="166" fontId="5" fillId="0" borderId="1" xfId="0" applyNumberFormat="1" applyFont="1" applyBorder="1" applyAlignment="1">
      <alignment horizontal="center" vertical="center"/>
    </xf>
    <xf numFmtId="166" fontId="5" fillId="0" borderId="45" xfId="0" applyNumberFormat="1" applyFont="1" applyBorder="1" applyAlignment="1">
      <alignment vertical="center"/>
    </xf>
    <xf numFmtId="166" fontId="5" fillId="0" borderId="48" xfId="0" applyNumberFormat="1" applyFont="1" applyBorder="1" applyAlignment="1">
      <alignment vertical="center"/>
    </xf>
    <xf numFmtId="166" fontId="5" fillId="4" borderId="1" xfId="0" applyNumberFormat="1" applyFont="1" applyFill="1" applyBorder="1" applyAlignment="1">
      <alignment horizontal="center" vertical="center"/>
    </xf>
    <xf numFmtId="165" fontId="4" fillId="0" borderId="9" xfId="1" applyNumberFormat="1" applyFont="1" applyBorder="1" applyAlignment="1">
      <alignment horizontal="center" vertical="center"/>
    </xf>
    <xf numFmtId="2" fontId="7" fillId="13" borderId="26" xfId="0" applyNumberFormat="1" applyFont="1" applyFill="1" applyBorder="1" applyAlignment="1" applyProtection="1">
      <alignment horizontal="left" vertical="center"/>
      <protection hidden="1"/>
    </xf>
    <xf numFmtId="2" fontId="7" fillId="13" borderId="28" xfId="0" applyNumberFormat="1" applyFont="1" applyFill="1" applyBorder="1" applyAlignment="1">
      <alignment horizontal="left" vertical="center"/>
    </xf>
    <xf numFmtId="0" fontId="3" fillId="13" borderId="69" xfId="0" applyFont="1" applyFill="1" applyBorder="1" applyAlignment="1" applyProtection="1">
      <alignment horizontal="center" vertical="center"/>
      <protection hidden="1"/>
    </xf>
    <xf numFmtId="0" fontId="4" fillId="0" borderId="83" xfId="0" applyFont="1" applyBorder="1"/>
    <xf numFmtId="14" fontId="4" fillId="0" borderId="83" xfId="0" applyNumberFormat="1" applyFont="1" applyBorder="1"/>
    <xf numFmtId="165" fontId="4" fillId="0" borderId="83" xfId="1" applyNumberFormat="1" applyFont="1" applyBorder="1" applyAlignment="1">
      <alignment horizontal="center" vertical="center"/>
    </xf>
    <xf numFmtId="0" fontId="3" fillId="14" borderId="69" xfId="0" applyFont="1" applyFill="1" applyBorder="1" applyAlignment="1">
      <alignment horizontal="center" vertical="center"/>
    </xf>
    <xf numFmtId="0" fontId="3" fillId="15" borderId="69" xfId="0" applyFont="1" applyFill="1" applyBorder="1" applyAlignment="1">
      <alignment horizontal="center" vertical="center"/>
    </xf>
    <xf numFmtId="0" fontId="3" fillId="16" borderId="69" xfId="0" applyFont="1" applyFill="1" applyBorder="1" applyAlignment="1">
      <alignment horizontal="center" vertical="center"/>
    </xf>
    <xf numFmtId="2" fontId="7" fillId="13" borderId="27" xfId="0" applyNumberFormat="1" applyFont="1" applyFill="1" applyBorder="1" applyAlignment="1" applyProtection="1">
      <alignment horizontal="left" vertical="center"/>
      <protection hidden="1"/>
    </xf>
    <xf numFmtId="0" fontId="12" fillId="7" borderId="10" xfId="0" applyFont="1" applyFill="1" applyBorder="1" applyAlignment="1">
      <alignment horizontal="right" vertical="center"/>
    </xf>
    <xf numFmtId="0" fontId="12" fillId="7" borderId="45" xfId="0" applyFont="1" applyFill="1" applyBorder="1" applyAlignment="1">
      <alignment horizontal="right" vertical="center"/>
    </xf>
    <xf numFmtId="0" fontId="12" fillId="7" borderId="48" xfId="0" applyFont="1" applyFill="1" applyBorder="1" applyAlignment="1">
      <alignment horizontal="right" vertical="center"/>
    </xf>
    <xf numFmtId="0" fontId="12" fillId="7" borderId="1" xfId="0" applyFont="1" applyFill="1" applyBorder="1" applyAlignment="1">
      <alignment horizontal="right" vertical="center"/>
    </xf>
    <xf numFmtId="0" fontId="7" fillId="13" borderId="19" xfId="0" applyFont="1" applyFill="1" applyBorder="1" applyAlignment="1">
      <alignment horizontal="left" vertical="center"/>
    </xf>
    <xf numFmtId="2" fontId="7" fillId="0" borderId="26" xfId="0" applyNumberFormat="1" applyFont="1" applyBorder="1" applyAlignment="1" applyProtection="1">
      <alignment horizontal="left" vertical="center"/>
      <protection locked="0"/>
    </xf>
    <xf numFmtId="2" fontId="7" fillId="0" borderId="28" xfId="0" applyNumberFormat="1" applyFont="1" applyBorder="1" applyAlignment="1" applyProtection="1">
      <alignment horizontal="left" vertical="center"/>
      <protection locked="0"/>
    </xf>
    <xf numFmtId="166" fontId="4" fillId="0" borderId="1" xfId="0" applyNumberFormat="1" applyFont="1" applyBorder="1"/>
    <xf numFmtId="0" fontId="8" fillId="6" borderId="37" xfId="0" applyFont="1" applyFill="1" applyBorder="1" applyAlignment="1" applyProtection="1">
      <alignment horizontal="center" vertical="center"/>
      <protection hidden="1"/>
    </xf>
    <xf numFmtId="0" fontId="13" fillId="0" borderId="0" xfId="0" applyFont="1"/>
    <xf numFmtId="0" fontId="5" fillId="10" borderId="0" xfId="0" applyFont="1" applyFill="1" applyAlignment="1">
      <alignment horizontal="center" vertical="center"/>
    </xf>
    <xf numFmtId="0" fontId="5" fillId="5" borderId="0" xfId="0" applyFont="1" applyFill="1"/>
    <xf numFmtId="0" fontId="7" fillId="0" borderId="91" xfId="0" applyFont="1" applyBorder="1" applyProtection="1">
      <protection hidden="1"/>
    </xf>
    <xf numFmtId="0" fontId="7" fillId="0" borderId="84" xfId="0" applyFont="1" applyBorder="1" applyProtection="1">
      <protection hidden="1"/>
    </xf>
    <xf numFmtId="0" fontId="8" fillId="3" borderId="92" xfId="0" applyFont="1" applyFill="1" applyBorder="1" applyAlignment="1" applyProtection="1">
      <alignment vertical="center"/>
      <protection hidden="1"/>
    </xf>
    <xf numFmtId="0" fontId="9" fillId="0" borderId="84" xfId="0" applyFont="1" applyBorder="1" applyProtection="1">
      <protection hidden="1"/>
    </xf>
    <xf numFmtId="0" fontId="8" fillId="3" borderId="93" xfId="0" applyFont="1" applyFill="1" applyBorder="1" applyAlignment="1" applyProtection="1">
      <alignment vertical="center"/>
      <protection hidden="1"/>
    </xf>
    <xf numFmtId="0" fontId="9" fillId="0" borderId="84" xfId="0" applyFont="1" applyBorder="1" applyAlignment="1" applyProtection="1">
      <alignment horizontal="left"/>
      <protection hidden="1"/>
    </xf>
    <xf numFmtId="0" fontId="7" fillId="0" borderId="84" xfId="0" applyFont="1" applyBorder="1" applyAlignment="1" applyProtection="1">
      <alignment horizontal="center"/>
      <protection hidden="1"/>
    </xf>
    <xf numFmtId="0" fontId="8" fillId="3" borderId="94" xfId="0" applyFont="1" applyFill="1" applyBorder="1" applyAlignment="1" applyProtection="1">
      <alignment vertical="center"/>
      <protection hidden="1"/>
    </xf>
    <xf numFmtId="0" fontId="7" fillId="0" borderId="84" xfId="0" applyFont="1" applyBorder="1" applyAlignment="1" applyProtection="1">
      <alignment vertical="center"/>
      <protection hidden="1"/>
    </xf>
    <xf numFmtId="0" fontId="8" fillId="0" borderId="91" xfId="0" applyFont="1" applyBorder="1" applyAlignment="1" applyProtection="1">
      <alignment vertical="center"/>
      <protection hidden="1"/>
    </xf>
    <xf numFmtId="0" fontId="5" fillId="0" borderId="84" xfId="0" applyFont="1" applyBorder="1"/>
    <xf numFmtId="0" fontId="9" fillId="7" borderId="91" xfId="0" applyFont="1" applyFill="1" applyBorder="1" applyAlignment="1" applyProtection="1">
      <alignment horizontal="left"/>
      <protection locked="0"/>
    </xf>
    <xf numFmtId="0" fontId="7" fillId="7" borderId="84" xfId="0" applyFont="1" applyFill="1" applyBorder="1" applyAlignment="1" applyProtection="1">
      <alignment horizontal="left"/>
      <protection locked="0"/>
    </xf>
    <xf numFmtId="0" fontId="4" fillId="0" borderId="83" xfId="0" applyFont="1" applyBorder="1" applyAlignment="1">
      <alignment wrapText="1"/>
    </xf>
    <xf numFmtId="0" fontId="7" fillId="7" borderId="48" xfId="0" applyFont="1" applyFill="1" applyBorder="1" applyAlignment="1" applyProtection="1">
      <alignment horizontal="left" vertical="center"/>
      <protection hidden="1"/>
    </xf>
    <xf numFmtId="0" fontId="4" fillId="0" borderId="1" xfId="0" applyFont="1" applyBorder="1" applyAlignment="1">
      <alignment horizontal="center"/>
    </xf>
    <xf numFmtId="0" fontId="7" fillId="7" borderId="48" xfId="0" applyFont="1" applyFill="1" applyBorder="1" applyAlignment="1" applyProtection="1">
      <alignment horizontal="center" vertical="center"/>
      <protection hidden="1"/>
    </xf>
    <xf numFmtId="0" fontId="7" fillId="7" borderId="1" xfId="0" applyFont="1" applyFill="1" applyBorder="1" applyAlignment="1" applyProtection="1">
      <alignment horizontal="left" vertical="center" wrapText="1"/>
      <protection hidden="1"/>
    </xf>
    <xf numFmtId="9" fontId="7" fillId="7" borderId="55" xfId="0" applyNumberFormat="1" applyFont="1" applyFill="1" applyBorder="1" applyAlignment="1" applyProtection="1">
      <alignment horizontal="center" vertical="center"/>
      <protection hidden="1"/>
    </xf>
    <xf numFmtId="0" fontId="7" fillId="7" borderId="1" xfId="0" applyFont="1" applyFill="1" applyBorder="1" applyAlignment="1" applyProtection="1">
      <alignment horizontal="left" vertical="center"/>
      <protection hidden="1"/>
    </xf>
    <xf numFmtId="0" fontId="4" fillId="0" borderId="78" xfId="0" applyFont="1" applyBorder="1" applyAlignment="1">
      <alignment horizontal="center"/>
    </xf>
    <xf numFmtId="0" fontId="4" fillId="0" borderId="79" xfId="0" applyFont="1" applyBorder="1" applyAlignment="1">
      <alignment horizontal="center"/>
    </xf>
    <xf numFmtId="0" fontId="4" fillId="0" borderId="6" xfId="0" applyFont="1" applyBorder="1" applyAlignment="1">
      <alignment horizontal="center"/>
    </xf>
    <xf numFmtId="0" fontId="4" fillId="0" borderId="1" xfId="0" applyFont="1" applyBorder="1" applyAlignment="1">
      <alignment horizontal="center" vertical="center"/>
    </xf>
    <xf numFmtId="0" fontId="3" fillId="9" borderId="62" xfId="0" applyFont="1" applyFill="1" applyBorder="1" applyAlignment="1" applyProtection="1">
      <alignment horizontal="center"/>
      <protection hidden="1"/>
    </xf>
    <xf numFmtId="0" fontId="3" fillId="11" borderId="62" xfId="0" applyFont="1" applyFill="1" applyBorder="1" applyAlignment="1" applyProtection="1">
      <alignment horizontal="center"/>
      <protection hidden="1"/>
    </xf>
    <xf numFmtId="0" fontId="5" fillId="0" borderId="1" xfId="0" applyFont="1" applyBorder="1"/>
    <xf numFmtId="0" fontId="8" fillId="6" borderId="101" xfId="0" applyFont="1" applyFill="1" applyBorder="1" applyAlignment="1" applyProtection="1">
      <alignment horizontal="center" vertical="center"/>
      <protection hidden="1"/>
    </xf>
    <xf numFmtId="0" fontId="8" fillId="6" borderId="104" xfId="0" applyFont="1" applyFill="1" applyBorder="1" applyAlignment="1" applyProtection="1">
      <alignment horizontal="center" vertical="center"/>
      <protection hidden="1"/>
    </xf>
    <xf numFmtId="0" fontId="5" fillId="0" borderId="10" xfId="0" applyFont="1" applyBorder="1" applyAlignment="1">
      <alignment vertical="center"/>
    </xf>
    <xf numFmtId="1" fontId="2" fillId="0" borderId="0" xfId="0" applyNumberFormat="1" applyFont="1" applyAlignment="1">
      <alignment horizontal="left" vertical="center"/>
    </xf>
    <xf numFmtId="166" fontId="5" fillId="17" borderId="10" xfId="0" applyNumberFormat="1" applyFont="1" applyFill="1" applyBorder="1" applyAlignment="1">
      <alignment vertical="center"/>
    </xf>
    <xf numFmtId="166" fontId="5" fillId="17" borderId="45" xfId="0" applyNumberFormat="1" applyFont="1" applyFill="1" applyBorder="1" applyAlignment="1">
      <alignment vertical="center"/>
    </xf>
    <xf numFmtId="166" fontId="5" fillId="17" borderId="48" xfId="0" applyNumberFormat="1" applyFont="1" applyFill="1" applyBorder="1" applyAlignment="1">
      <alignment vertical="center"/>
    </xf>
    <xf numFmtId="166" fontId="5" fillId="18" borderId="45" xfId="0" applyNumberFormat="1" applyFont="1" applyFill="1" applyBorder="1" applyAlignment="1">
      <alignment vertical="center"/>
    </xf>
    <xf numFmtId="0" fontId="15" fillId="0" borderId="0" xfId="0" applyFont="1"/>
    <xf numFmtId="0" fontId="2" fillId="19" borderId="10" xfId="0" applyFont="1" applyFill="1" applyBorder="1"/>
    <xf numFmtId="0" fontId="16" fillId="0" borderId="10" xfId="0" applyFont="1" applyBorder="1" applyAlignment="1">
      <alignment horizontal="center"/>
    </xf>
    <xf numFmtId="0" fontId="16" fillId="0" borderId="60" xfId="0" applyFont="1" applyBorder="1" applyAlignment="1">
      <alignment horizontal="center"/>
    </xf>
    <xf numFmtId="0" fontId="16" fillId="0" borderId="1" xfId="0" applyFont="1" applyBorder="1" applyAlignment="1">
      <alignment vertical="top" wrapText="1"/>
    </xf>
    <xf numFmtId="0" fontId="2" fillId="0" borderId="1" xfId="0" applyFont="1" applyBorder="1" applyAlignment="1">
      <alignment horizontal="left" vertical="top" wrapText="1"/>
    </xf>
    <xf numFmtId="0" fontId="2" fillId="0" borderId="50" xfId="0" applyFont="1" applyBorder="1"/>
    <xf numFmtId="0" fontId="2" fillId="19" borderId="1" xfId="0" applyFont="1" applyFill="1" applyBorder="1"/>
    <xf numFmtId="0" fontId="0" fillId="20" borderId="0" xfId="0" applyFill="1"/>
    <xf numFmtId="167" fontId="2" fillId="0" borderId="0" xfId="0" applyNumberFormat="1" applyFont="1" applyAlignment="1">
      <alignment horizontal="left" vertical="center"/>
    </xf>
    <xf numFmtId="0" fontId="7" fillId="7" borderId="10" xfId="0" applyFont="1" applyFill="1" applyBorder="1" applyAlignment="1" applyProtection="1">
      <alignment horizontal="center" vertical="center"/>
      <protection hidden="1"/>
    </xf>
    <xf numFmtId="0" fontId="17" fillId="19" borderId="1" xfId="0" applyFont="1" applyFill="1" applyBorder="1" applyAlignment="1">
      <alignment horizontal="center"/>
    </xf>
    <xf numFmtId="0" fontId="7" fillId="7" borderId="10" xfId="0" applyFont="1" applyFill="1" applyBorder="1" applyAlignment="1" applyProtection="1">
      <alignment vertical="center"/>
      <protection hidden="1"/>
    </xf>
    <xf numFmtId="0" fontId="7" fillId="7" borderId="1" xfId="0" applyFont="1" applyFill="1" applyBorder="1" applyAlignment="1" applyProtection="1">
      <alignment vertical="center"/>
      <protection hidden="1"/>
    </xf>
    <xf numFmtId="166" fontId="5" fillId="0" borderId="10" xfId="0" applyNumberFormat="1" applyFont="1" applyBorder="1" applyAlignment="1">
      <alignment vertical="center"/>
    </xf>
    <xf numFmtId="166" fontId="5" fillId="0" borderId="1" xfId="0" applyNumberFormat="1" applyFont="1" applyBorder="1" applyAlignment="1">
      <alignment vertical="center"/>
    </xf>
    <xf numFmtId="167" fontId="0" fillId="0" borderId="1" xfId="0" applyNumberFormat="1" applyBorder="1" applyProtection="1">
      <protection locked="0"/>
    </xf>
    <xf numFmtId="15" fontId="0" fillId="0" borderId="1" xfId="0" applyNumberFormat="1" applyBorder="1" applyProtection="1">
      <protection locked="0"/>
    </xf>
    <xf numFmtId="0" fontId="0" fillId="0" borderId="1" xfId="0" applyBorder="1" applyProtection="1">
      <protection locked="0"/>
    </xf>
    <xf numFmtId="0" fontId="0" fillId="0" borderId="1" xfId="0" applyBorder="1" applyAlignment="1" applyProtection="1">
      <alignment wrapText="1"/>
      <protection locked="0"/>
    </xf>
    <xf numFmtId="0" fontId="12" fillId="0" borderId="10" xfId="0" applyFont="1" applyBorder="1" applyProtection="1">
      <protection locked="0"/>
    </xf>
    <xf numFmtId="0" fontId="12" fillId="0" borderId="45" xfId="0" applyFont="1" applyBorder="1" applyProtection="1">
      <protection locked="0"/>
    </xf>
    <xf numFmtId="0" fontId="12" fillId="0" borderId="48" xfId="0" applyFont="1" applyBorder="1" applyProtection="1">
      <protection locked="0"/>
    </xf>
    <xf numFmtId="0" fontId="8" fillId="3" borderId="49" xfId="0" applyFont="1" applyFill="1" applyBorder="1" applyAlignment="1" applyProtection="1">
      <alignment vertical="center"/>
      <protection hidden="1"/>
    </xf>
    <xf numFmtId="0" fontId="8" fillId="3" borderId="1" xfId="0" applyFont="1" applyFill="1" applyBorder="1" applyAlignment="1" applyProtection="1">
      <alignment vertical="center"/>
      <protection hidden="1"/>
    </xf>
    <xf numFmtId="0" fontId="5" fillId="21" borderId="0" xfId="0" applyFont="1" applyFill="1"/>
    <xf numFmtId="0" fontId="5" fillId="21" borderId="0" xfId="0" applyFont="1" applyFill="1" applyProtection="1">
      <protection hidden="1"/>
    </xf>
    <xf numFmtId="0" fontId="7" fillId="21" borderId="0" xfId="0" applyFont="1" applyFill="1" applyAlignment="1" applyProtection="1">
      <alignment vertical="center"/>
      <protection hidden="1"/>
    </xf>
    <xf numFmtId="11" fontId="5" fillId="0" borderId="0" xfId="0" applyNumberFormat="1" applyFont="1"/>
    <xf numFmtId="0" fontId="12" fillId="7" borderId="10" xfId="0" applyFont="1" applyFill="1" applyBorder="1" applyAlignment="1">
      <alignment horizontal="left" vertical="center"/>
    </xf>
    <xf numFmtId="0" fontId="0" fillId="0" borderId="48" xfId="0" applyBorder="1" applyAlignment="1">
      <alignment horizontal="left" vertical="center"/>
    </xf>
    <xf numFmtId="0" fontId="21" fillId="7" borderId="45" xfId="0" applyFont="1" applyFill="1" applyBorder="1" applyAlignment="1">
      <alignment horizontal="left" vertical="center" indent="1"/>
    </xf>
    <xf numFmtId="0" fontId="22" fillId="0" borderId="48" xfId="0" applyFont="1" applyBorder="1" applyAlignment="1">
      <alignment horizontal="right" vertical="center"/>
    </xf>
    <xf numFmtId="0" fontId="12" fillId="7" borderId="57" xfId="0" applyFont="1" applyFill="1" applyBorder="1" applyAlignment="1" applyProtection="1">
      <alignment horizontal="left" vertical="center"/>
      <protection locked="0"/>
    </xf>
    <xf numFmtId="0" fontId="23" fillId="7" borderId="57" xfId="0" applyFont="1" applyFill="1" applyBorder="1" applyAlignment="1">
      <alignment horizontal="left" vertical="center"/>
    </xf>
    <xf numFmtId="0" fontId="12" fillId="7" borderId="10" xfId="0" applyFont="1" applyFill="1" applyBorder="1" applyAlignment="1" applyProtection="1">
      <alignment horizontal="right" vertical="center"/>
      <protection locked="0"/>
    </xf>
    <xf numFmtId="0" fontId="7" fillId="22" borderId="15" xfId="0" applyFont="1" applyFill="1" applyBorder="1" applyAlignment="1" applyProtection="1">
      <alignment horizontal="left" vertical="center"/>
      <protection hidden="1"/>
    </xf>
    <xf numFmtId="0" fontId="7" fillId="22" borderId="25" xfId="0" applyFont="1" applyFill="1" applyBorder="1" applyAlignment="1" applyProtection="1">
      <alignment horizontal="left" vertical="center"/>
      <protection hidden="1"/>
    </xf>
    <xf numFmtId="167" fontId="18" fillId="4" borderId="27" xfId="0" applyNumberFormat="1" applyFont="1" applyFill="1" applyBorder="1" applyAlignment="1" applyProtection="1">
      <alignment horizontal="center" vertical="center"/>
      <protection locked="0"/>
    </xf>
    <xf numFmtId="0" fontId="22" fillId="2" borderId="0" xfId="0" applyFont="1" applyFill="1"/>
    <xf numFmtId="0" fontId="0" fillId="23" borderId="46" xfId="0" applyFill="1" applyBorder="1" applyAlignment="1">
      <alignment horizontal="center"/>
    </xf>
    <xf numFmtId="0" fontId="0" fillId="23" borderId="0" xfId="0" applyFill="1" applyAlignment="1">
      <alignment horizontal="center"/>
    </xf>
    <xf numFmtId="0" fontId="22" fillId="25" borderId="0" xfId="3" applyAlignment="1">
      <alignment horizontal="left" vertical="center"/>
    </xf>
    <xf numFmtId="0" fontId="1" fillId="24" borderId="111" xfId="2"/>
    <xf numFmtId="0" fontId="1" fillId="24" borderId="111" xfId="2" applyAlignment="1">
      <alignment horizontal="left" vertical="center"/>
    </xf>
    <xf numFmtId="0" fontId="9" fillId="7" borderId="10" xfId="0" applyFont="1" applyFill="1" applyBorder="1" applyAlignment="1" applyProtection="1">
      <alignment horizontal="left" vertical="center" wrapText="1"/>
      <protection hidden="1"/>
    </xf>
    <xf numFmtId="0" fontId="9" fillId="7" borderId="45" xfId="0" applyFont="1" applyFill="1" applyBorder="1" applyAlignment="1" applyProtection="1">
      <alignment horizontal="left" vertical="center" wrapText="1"/>
      <protection hidden="1"/>
    </xf>
    <xf numFmtId="0" fontId="9" fillId="7" borderId="48" xfId="0" applyFont="1" applyFill="1" applyBorder="1" applyAlignment="1" applyProtection="1">
      <alignment horizontal="left" vertical="center" wrapText="1"/>
      <protection hidden="1"/>
    </xf>
    <xf numFmtId="0" fontId="9" fillId="7" borderId="42" xfId="0" applyFont="1" applyFill="1" applyBorder="1" applyAlignment="1" applyProtection="1">
      <alignment horizontal="left" vertical="center" wrapText="1"/>
      <protection hidden="1"/>
    </xf>
    <xf numFmtId="0" fontId="9" fillId="7" borderId="44" xfId="0" applyFont="1" applyFill="1" applyBorder="1" applyAlignment="1" applyProtection="1">
      <alignment horizontal="left" vertical="center" wrapText="1"/>
      <protection hidden="1"/>
    </xf>
    <xf numFmtId="0" fontId="0" fillId="0" borderId="44" xfId="0" applyBorder="1"/>
    <xf numFmtId="0" fontId="7" fillId="15" borderId="11" xfId="0" applyFont="1" applyFill="1" applyBorder="1" applyAlignment="1">
      <alignment horizontal="left" vertical="center" wrapText="1"/>
    </xf>
    <xf numFmtId="0" fontId="7" fillId="15" borderId="50" xfId="0" applyFont="1" applyFill="1" applyBorder="1" applyAlignment="1">
      <alignment horizontal="left" vertical="center" wrapText="1"/>
    </xf>
    <xf numFmtId="0" fontId="7" fillId="15" borderId="60" xfId="0" applyFont="1" applyFill="1" applyBorder="1" applyAlignment="1">
      <alignment horizontal="left" vertical="center" wrapText="1"/>
    </xf>
    <xf numFmtId="0" fontId="7" fillId="15" borderId="46" xfId="0" applyFont="1" applyFill="1" applyBorder="1" applyAlignment="1">
      <alignment horizontal="left" vertical="center" wrapText="1"/>
    </xf>
    <xf numFmtId="0" fontId="7" fillId="15" borderId="0" xfId="0" applyFont="1" applyFill="1" applyAlignment="1">
      <alignment horizontal="left" vertical="center" wrapText="1"/>
    </xf>
    <xf numFmtId="0" fontId="7" fillId="15" borderId="61" xfId="0" applyFont="1" applyFill="1" applyBorder="1" applyAlignment="1">
      <alignment horizontal="left" vertical="center" wrapText="1"/>
    </xf>
    <xf numFmtId="0" fontId="0" fillId="15" borderId="46" xfId="0" applyFill="1" applyBorder="1" applyAlignment="1">
      <alignment horizontal="left" vertical="center" wrapText="1"/>
    </xf>
    <xf numFmtId="0" fontId="0" fillId="15" borderId="0" xfId="0" applyFill="1" applyAlignment="1">
      <alignment horizontal="left" vertical="center" wrapText="1"/>
    </xf>
    <xf numFmtId="0" fontId="0" fillId="15" borderId="61" xfId="0" applyFill="1" applyBorder="1" applyAlignment="1">
      <alignment horizontal="left" vertical="center" wrapText="1"/>
    </xf>
    <xf numFmtId="0" fontId="0" fillId="15" borderId="49" xfId="0" applyFill="1" applyBorder="1" applyAlignment="1">
      <alignment horizontal="left" vertical="center" wrapText="1"/>
    </xf>
    <xf numFmtId="0" fontId="0" fillId="15" borderId="56" xfId="0" applyFill="1" applyBorder="1" applyAlignment="1">
      <alignment horizontal="left" vertical="center" wrapText="1"/>
    </xf>
    <xf numFmtId="0" fontId="0" fillId="15" borderId="24" xfId="0" applyFill="1" applyBorder="1" applyAlignment="1">
      <alignment horizontal="left" vertical="center" wrapText="1"/>
    </xf>
    <xf numFmtId="0" fontId="3" fillId="0" borderId="2" xfId="0" applyFont="1" applyBorder="1" applyAlignment="1" applyProtection="1">
      <alignment horizontal="center"/>
      <protection hidden="1"/>
    </xf>
    <xf numFmtId="0" fontId="3" fillId="0" borderId="3" xfId="0" applyFont="1" applyBorder="1" applyAlignment="1" applyProtection="1">
      <alignment horizontal="center"/>
      <protection hidden="1"/>
    </xf>
    <xf numFmtId="0" fontId="4" fillId="0" borderId="1" xfId="0" applyFont="1" applyBorder="1" applyAlignment="1">
      <alignment horizontal="center"/>
    </xf>
    <xf numFmtId="0" fontId="3" fillId="0" borderId="11" xfId="0" applyFont="1" applyBorder="1" applyAlignment="1" applyProtection="1">
      <alignment horizontal="center"/>
      <protection hidden="1"/>
    </xf>
    <xf numFmtId="0" fontId="3" fillId="0" borderId="50" xfId="0" applyFont="1" applyBorder="1" applyAlignment="1" applyProtection="1">
      <alignment horizontal="center"/>
      <protection hidden="1"/>
    </xf>
    <xf numFmtId="0" fontId="3" fillId="0" borderId="60" xfId="0" applyFont="1" applyBorder="1" applyAlignment="1" applyProtection="1">
      <alignment horizontal="center"/>
      <protection hidden="1"/>
    </xf>
    <xf numFmtId="0" fontId="4" fillId="0" borderId="5" xfId="0" applyFont="1" applyBorder="1" applyAlignment="1">
      <alignment horizontal="center"/>
    </xf>
    <xf numFmtId="0" fontId="4" fillId="0" borderId="78" xfId="0" applyFont="1" applyBorder="1" applyAlignment="1">
      <alignment horizontal="center"/>
    </xf>
    <xf numFmtId="0" fontId="4" fillId="0" borderId="79" xfId="0" applyFont="1" applyBorder="1" applyAlignment="1">
      <alignment horizontal="center"/>
    </xf>
    <xf numFmtId="0" fontId="4" fillId="0" borderId="6" xfId="0" applyFont="1" applyBorder="1" applyAlignment="1">
      <alignment horizontal="center"/>
    </xf>
    <xf numFmtId="0" fontId="3" fillId="0" borderId="79" xfId="0" applyFont="1" applyBorder="1" applyAlignment="1" applyProtection="1">
      <alignment horizontal="center"/>
      <protection hidden="1"/>
    </xf>
    <xf numFmtId="0" fontId="3" fillId="0" borderId="78" xfId="0" applyFont="1" applyBorder="1" applyAlignment="1" applyProtection="1">
      <alignment horizontal="center"/>
      <protection hidden="1"/>
    </xf>
    <xf numFmtId="0" fontId="7" fillId="13" borderId="16" xfId="0" applyFont="1" applyFill="1" applyBorder="1" applyAlignment="1">
      <alignment horizontal="left" vertical="center"/>
    </xf>
    <xf numFmtId="0" fontId="7" fillId="13" borderId="17" xfId="0" applyFont="1" applyFill="1" applyBorder="1" applyAlignment="1">
      <alignment horizontal="left" vertical="center"/>
    </xf>
    <xf numFmtId="14" fontId="7" fillId="13" borderId="20" xfId="0" applyNumberFormat="1" applyFont="1" applyFill="1" applyBorder="1" applyAlignment="1">
      <alignment horizontal="left" vertical="center"/>
    </xf>
    <xf numFmtId="14" fontId="7" fillId="13" borderId="21" xfId="0" applyNumberFormat="1" applyFont="1" applyFill="1" applyBorder="1" applyAlignment="1">
      <alignment horizontal="left" vertical="center"/>
    </xf>
    <xf numFmtId="0" fontId="7" fillId="13" borderId="23" xfId="0" applyFont="1" applyFill="1" applyBorder="1" applyAlignment="1">
      <alignment horizontal="left" vertical="center"/>
    </xf>
    <xf numFmtId="0" fontId="7" fillId="13" borderId="24" xfId="0" applyFont="1" applyFill="1" applyBorder="1" applyAlignment="1">
      <alignment horizontal="left" vertical="center"/>
    </xf>
    <xf numFmtId="0" fontId="7" fillId="13" borderId="20" xfId="0" applyFont="1" applyFill="1" applyBorder="1" applyAlignment="1" applyProtection="1">
      <alignment horizontal="left" vertical="center"/>
      <protection hidden="1"/>
    </xf>
    <xf numFmtId="0" fontId="7" fillId="13" borderId="21" xfId="0" applyFont="1" applyFill="1" applyBorder="1" applyAlignment="1" applyProtection="1">
      <alignment horizontal="left" vertical="center"/>
      <protection hidden="1"/>
    </xf>
    <xf numFmtId="0" fontId="6" fillId="2" borderId="88" xfId="0" applyFont="1" applyFill="1" applyBorder="1" applyAlignment="1" applyProtection="1">
      <alignment horizontal="center" vertical="center"/>
      <protection hidden="1"/>
    </xf>
    <xf numFmtId="0" fontId="6" fillId="2" borderId="89" xfId="0" applyFont="1" applyFill="1" applyBorder="1" applyAlignment="1" applyProtection="1">
      <alignment horizontal="center" vertical="center"/>
      <protection hidden="1"/>
    </xf>
    <xf numFmtId="0" fontId="6" fillId="2" borderId="91" xfId="0" applyFont="1" applyFill="1" applyBorder="1" applyAlignment="1" applyProtection="1">
      <alignment horizontal="center" vertical="center"/>
      <protection hidden="1"/>
    </xf>
    <xf numFmtId="0" fontId="6" fillId="2" borderId="0" xfId="0" applyFont="1" applyFill="1" applyAlignment="1" applyProtection="1">
      <alignment horizontal="center" vertical="center"/>
      <protection hidden="1"/>
    </xf>
    <xf numFmtId="0" fontId="6" fillId="2" borderId="90" xfId="0" applyFont="1" applyFill="1" applyBorder="1" applyAlignment="1" applyProtection="1">
      <alignment horizontal="center" vertical="center"/>
      <protection hidden="1"/>
    </xf>
    <xf numFmtId="0" fontId="6" fillId="2" borderId="84" xfId="0" applyFont="1" applyFill="1" applyBorder="1" applyAlignment="1" applyProtection="1">
      <alignment horizontal="center" vertical="center"/>
      <protection hidden="1"/>
    </xf>
    <xf numFmtId="0" fontId="8" fillId="6" borderId="1" xfId="0" applyFont="1" applyFill="1" applyBorder="1" applyAlignment="1" applyProtection="1">
      <alignment horizontal="center"/>
      <protection hidden="1"/>
    </xf>
    <xf numFmtId="0" fontId="9" fillId="7" borderId="53" xfId="0" applyFont="1" applyFill="1" applyBorder="1" applyAlignment="1" applyProtection="1">
      <alignment horizontal="left" vertical="center" wrapText="1"/>
      <protection hidden="1"/>
    </xf>
    <xf numFmtId="0" fontId="8" fillId="3" borderId="95" xfId="0" applyFont="1" applyFill="1" applyBorder="1" applyAlignment="1" applyProtection="1">
      <alignment horizontal="left" vertical="center"/>
      <protection hidden="1"/>
    </xf>
    <xf numFmtId="0" fontId="8" fillId="3" borderId="96" xfId="0" applyFont="1" applyFill="1" applyBorder="1" applyAlignment="1" applyProtection="1">
      <alignment horizontal="left" vertical="center"/>
      <protection hidden="1"/>
    </xf>
    <xf numFmtId="0" fontId="8" fillId="3" borderId="97" xfId="0" applyFont="1" applyFill="1" applyBorder="1" applyAlignment="1" applyProtection="1">
      <alignment horizontal="left" vertical="center"/>
      <protection hidden="1"/>
    </xf>
    <xf numFmtId="0" fontId="7" fillId="13" borderId="30" xfId="0" applyFont="1" applyFill="1" applyBorder="1" applyAlignment="1" applyProtection="1">
      <alignment horizontal="left" vertical="center" wrapText="1"/>
      <protection hidden="1"/>
    </xf>
    <xf numFmtId="0" fontId="7" fillId="13" borderId="32" xfId="0" applyFont="1" applyFill="1" applyBorder="1" applyAlignment="1" applyProtection="1">
      <alignment horizontal="left" vertical="center" wrapText="1"/>
      <protection hidden="1"/>
    </xf>
    <xf numFmtId="0" fontId="7" fillId="13" borderId="34" xfId="0" applyFont="1" applyFill="1" applyBorder="1" applyAlignment="1" applyProtection="1">
      <alignment horizontal="left" vertical="center" wrapText="1"/>
      <protection hidden="1"/>
    </xf>
    <xf numFmtId="0" fontId="4" fillId="0" borderId="1" xfId="0" applyFont="1" applyBorder="1" applyAlignment="1">
      <alignment horizontal="center" vertical="center"/>
    </xf>
    <xf numFmtId="0" fontId="4" fillId="0" borderId="10" xfId="0" applyFont="1" applyBorder="1" applyAlignment="1">
      <alignment horizontal="center"/>
    </xf>
    <xf numFmtId="0" fontId="3" fillId="0" borderId="6" xfId="0" applyFont="1" applyBorder="1" applyAlignment="1" applyProtection="1">
      <alignment horizontal="center"/>
      <protection hidden="1"/>
    </xf>
    <xf numFmtId="0" fontId="7" fillId="13" borderId="23" xfId="0" applyFont="1" applyFill="1" applyBorder="1" applyAlignment="1" applyProtection="1">
      <alignment horizontal="left" vertical="center"/>
      <protection hidden="1"/>
    </xf>
    <xf numFmtId="0" fontId="7" fillId="13" borderId="24" xfId="0" applyFont="1" applyFill="1" applyBorder="1" applyAlignment="1" applyProtection="1">
      <alignment horizontal="left" vertical="center"/>
      <protection hidden="1"/>
    </xf>
    <xf numFmtId="10" fontId="11" fillId="5" borderId="73" xfId="1" applyNumberFormat="1" applyFont="1" applyFill="1" applyBorder="1" applyAlignment="1" applyProtection="1">
      <alignment horizontal="center" vertical="center"/>
      <protection hidden="1"/>
    </xf>
    <xf numFmtId="10" fontId="11" fillId="5" borderId="1" xfId="1" applyNumberFormat="1" applyFont="1" applyFill="1" applyBorder="1" applyAlignment="1" applyProtection="1">
      <alignment horizontal="center" vertical="center"/>
      <protection hidden="1"/>
    </xf>
    <xf numFmtId="0" fontId="25" fillId="0" borderId="46" xfId="0" applyFont="1" applyBorder="1" applyAlignment="1" applyProtection="1">
      <alignment horizontal="center" vertical="center"/>
      <protection hidden="1"/>
    </xf>
    <xf numFmtId="0" fontId="24" fillId="0" borderId="84" xfId="0" applyFont="1" applyBorder="1" applyAlignment="1">
      <alignment horizontal="center" vertical="center"/>
    </xf>
    <xf numFmtId="0" fontId="4" fillId="0" borderId="0" xfId="0" applyFont="1" applyAlignment="1">
      <alignment horizontal="center"/>
    </xf>
    <xf numFmtId="166" fontId="5" fillId="0" borderId="10" xfId="0" applyNumberFormat="1" applyFont="1" applyBorder="1" applyAlignment="1">
      <alignment horizontal="center" vertical="center"/>
    </xf>
    <xf numFmtId="166" fontId="5" fillId="0" borderId="45" xfId="0" applyNumberFormat="1" applyFont="1" applyBorder="1" applyAlignment="1">
      <alignment horizontal="center" vertical="center"/>
    </xf>
    <xf numFmtId="0" fontId="7" fillId="7" borderId="10" xfId="0" applyFont="1" applyFill="1" applyBorder="1" applyAlignment="1" applyProtection="1">
      <alignment horizontal="left" vertical="center" wrapText="1"/>
      <protection hidden="1"/>
    </xf>
    <xf numFmtId="0" fontId="7" fillId="7" borderId="45" xfId="0" applyFont="1" applyFill="1" applyBorder="1" applyAlignment="1" applyProtection="1">
      <alignment horizontal="left" vertical="center"/>
      <protection hidden="1"/>
    </xf>
    <xf numFmtId="0" fontId="7" fillId="7" borderId="48" xfId="0" applyFont="1" applyFill="1" applyBorder="1" applyAlignment="1" applyProtection="1">
      <alignment horizontal="left" vertical="center"/>
      <protection hidden="1"/>
    </xf>
    <xf numFmtId="0" fontId="7" fillId="7" borderId="11" xfId="0" applyFont="1" applyFill="1" applyBorder="1" applyAlignment="1" applyProtection="1">
      <alignment horizontal="center" vertical="center"/>
      <protection hidden="1"/>
    </xf>
    <xf numFmtId="0" fontId="7" fillId="7" borderId="46" xfId="0" applyFont="1" applyFill="1" applyBorder="1" applyAlignment="1" applyProtection="1">
      <alignment horizontal="center" vertical="center"/>
      <protection hidden="1"/>
    </xf>
    <xf numFmtId="0" fontId="7" fillId="7" borderId="49" xfId="0" applyFont="1" applyFill="1" applyBorder="1" applyAlignment="1" applyProtection="1">
      <alignment horizontal="center" vertical="center"/>
      <protection hidden="1"/>
    </xf>
    <xf numFmtId="0" fontId="7" fillId="15" borderId="49" xfId="0" applyFont="1" applyFill="1" applyBorder="1" applyAlignment="1">
      <alignment horizontal="left" vertical="center" wrapText="1"/>
    </xf>
    <xf numFmtId="0" fontId="7" fillId="15" borderId="56" xfId="0" applyFont="1" applyFill="1" applyBorder="1" applyAlignment="1">
      <alignment horizontal="left" vertical="center" wrapText="1"/>
    </xf>
    <xf numFmtId="9" fontId="7" fillId="7" borderId="55" xfId="0" applyNumberFormat="1" applyFont="1" applyFill="1" applyBorder="1" applyAlignment="1" applyProtection="1">
      <alignment horizontal="center" vertical="center"/>
      <protection hidden="1"/>
    </xf>
    <xf numFmtId="0" fontId="7" fillId="7" borderId="1" xfId="0" applyFont="1" applyFill="1" applyBorder="1" applyAlignment="1" applyProtection="1">
      <alignment horizontal="left" vertical="center"/>
      <protection hidden="1"/>
    </xf>
    <xf numFmtId="166" fontId="5" fillId="0" borderId="48" xfId="0" applyNumberFormat="1" applyFont="1" applyBorder="1" applyAlignment="1">
      <alignment horizontal="center" vertical="center"/>
    </xf>
    <xf numFmtId="0" fontId="7" fillId="7" borderId="45" xfId="0" applyFont="1" applyFill="1" applyBorder="1" applyAlignment="1" applyProtection="1">
      <alignment horizontal="left" vertical="center" wrapText="1"/>
      <protection hidden="1"/>
    </xf>
    <xf numFmtId="0" fontId="7" fillId="7" borderId="48" xfId="0" applyFont="1" applyFill="1" applyBorder="1" applyAlignment="1" applyProtection="1">
      <alignment horizontal="left" vertical="center" wrapText="1"/>
      <protection hidden="1"/>
    </xf>
    <xf numFmtId="0" fontId="7" fillId="7" borderId="1" xfId="0" applyFont="1" applyFill="1" applyBorder="1" applyAlignment="1" applyProtection="1">
      <alignment horizontal="left" vertical="center" wrapText="1"/>
      <protection hidden="1"/>
    </xf>
    <xf numFmtId="0" fontId="7" fillId="15" borderId="1" xfId="0" applyFont="1" applyFill="1" applyBorder="1" applyAlignment="1">
      <alignment horizontal="left" vertical="center" wrapText="1"/>
    </xf>
    <xf numFmtId="9" fontId="7" fillId="7" borderId="47" xfId="0" applyNumberFormat="1" applyFont="1" applyFill="1" applyBorder="1" applyAlignment="1" applyProtection="1">
      <alignment horizontal="center" vertical="center"/>
      <protection hidden="1"/>
    </xf>
    <xf numFmtId="0" fontId="9" fillId="7" borderId="1" xfId="0" applyFont="1" applyFill="1" applyBorder="1" applyAlignment="1" applyProtection="1">
      <alignment horizontal="left" vertical="center" wrapText="1"/>
      <protection hidden="1"/>
    </xf>
    <xf numFmtId="0" fontId="9" fillId="7" borderId="10" xfId="0" applyFont="1" applyFill="1" applyBorder="1" applyAlignment="1" applyProtection="1">
      <alignment horizontal="left" vertical="center"/>
      <protection hidden="1"/>
    </xf>
    <xf numFmtId="0" fontId="9" fillId="7" borderId="45" xfId="0" applyFont="1" applyFill="1" applyBorder="1" applyAlignment="1" applyProtection="1">
      <alignment horizontal="left" vertical="center"/>
      <protection hidden="1"/>
    </xf>
    <xf numFmtId="166" fontId="5" fillId="17" borderId="10" xfId="0" applyNumberFormat="1" applyFont="1" applyFill="1" applyBorder="1" applyAlignment="1">
      <alignment horizontal="center" vertical="center"/>
    </xf>
    <xf numFmtId="166" fontId="5" fillId="17" borderId="45" xfId="0" applyNumberFormat="1" applyFont="1" applyFill="1" applyBorder="1" applyAlignment="1">
      <alignment horizontal="center" vertical="center"/>
    </xf>
    <xf numFmtId="166" fontId="5" fillId="17" borderId="48" xfId="0" applyNumberFormat="1" applyFont="1" applyFill="1" applyBorder="1" applyAlignment="1">
      <alignment horizontal="center" vertical="center"/>
    </xf>
    <xf numFmtId="0" fontId="7" fillId="7" borderId="10" xfId="0" applyFont="1" applyFill="1" applyBorder="1" applyAlignment="1" applyProtection="1">
      <alignment horizontal="left" vertical="center"/>
      <protection hidden="1"/>
    </xf>
    <xf numFmtId="0" fontId="7" fillId="15" borderId="58" xfId="0" applyFont="1" applyFill="1" applyBorder="1" applyAlignment="1">
      <alignment horizontal="left" vertical="center" wrapText="1"/>
    </xf>
    <xf numFmtId="0" fontId="7" fillId="15" borderId="59" xfId="0" applyFont="1" applyFill="1" applyBorder="1" applyAlignment="1">
      <alignment horizontal="left" vertical="center" wrapText="1"/>
    </xf>
    <xf numFmtId="0" fontId="7" fillId="15" borderId="110" xfId="0" applyFont="1" applyFill="1" applyBorder="1" applyAlignment="1">
      <alignment horizontal="left" vertical="center" wrapText="1"/>
    </xf>
    <xf numFmtId="0" fontId="5" fillId="6" borderId="1" xfId="0" applyFont="1" applyFill="1" applyBorder="1" applyAlignment="1">
      <alignment horizontal="center"/>
    </xf>
    <xf numFmtId="9" fontId="7" fillId="7" borderId="43" xfId="0" applyNumberFormat="1" applyFont="1" applyFill="1" applyBorder="1" applyAlignment="1" applyProtection="1">
      <alignment horizontal="center" vertical="center"/>
      <protection hidden="1"/>
    </xf>
    <xf numFmtId="9" fontId="7" fillId="7" borderId="75" xfId="0" applyNumberFormat="1" applyFont="1" applyFill="1" applyBorder="1" applyAlignment="1" applyProtection="1">
      <alignment horizontal="center" vertical="center"/>
      <protection hidden="1"/>
    </xf>
    <xf numFmtId="0" fontId="5" fillId="15" borderId="2" xfId="0" applyFont="1" applyFill="1" applyBorder="1" applyAlignment="1" applyProtection="1">
      <alignment horizontal="left" vertical="center"/>
      <protection locked="0"/>
    </xf>
    <xf numFmtId="0" fontId="12" fillId="15" borderId="3" xfId="0" applyFont="1" applyFill="1" applyBorder="1" applyAlignment="1" applyProtection="1">
      <alignment horizontal="left" vertical="center"/>
      <protection locked="0"/>
    </xf>
    <xf numFmtId="0" fontId="12" fillId="15" borderId="4" xfId="0" applyFont="1" applyFill="1" applyBorder="1" applyAlignment="1" applyProtection="1">
      <alignment horizontal="left" vertical="center"/>
      <protection locked="0"/>
    </xf>
    <xf numFmtId="0" fontId="12" fillId="7" borderId="2" xfId="0" applyFont="1" applyFill="1" applyBorder="1" applyAlignment="1">
      <alignment horizontal="left" vertical="center" wrapText="1"/>
    </xf>
    <xf numFmtId="0" fontId="12" fillId="7" borderId="3" xfId="0" applyFont="1" applyFill="1" applyBorder="1" applyAlignment="1">
      <alignment horizontal="left" vertical="center" wrapText="1"/>
    </xf>
    <xf numFmtId="0" fontId="12" fillId="7" borderId="4" xfId="0" applyFont="1" applyFill="1" applyBorder="1" applyAlignment="1">
      <alignment horizontal="left" vertical="center" wrapText="1"/>
    </xf>
    <xf numFmtId="0" fontId="7" fillId="15" borderId="2" xfId="0" applyFont="1" applyFill="1" applyBorder="1" applyAlignment="1">
      <alignment horizontal="left" vertical="center" wrapText="1"/>
    </xf>
    <xf numFmtId="0" fontId="7" fillId="15" borderId="3" xfId="0" applyFont="1" applyFill="1" applyBorder="1" applyAlignment="1">
      <alignment horizontal="left" vertical="center" wrapText="1"/>
    </xf>
    <xf numFmtId="0" fontId="7" fillId="15" borderId="4" xfId="0" applyFont="1" applyFill="1" applyBorder="1" applyAlignment="1">
      <alignment horizontal="left" vertical="center" wrapText="1"/>
    </xf>
    <xf numFmtId="0" fontId="14" fillId="0" borderId="42" xfId="0" applyFont="1" applyBorder="1" applyAlignment="1">
      <alignment horizontal="left" vertical="center"/>
    </xf>
    <xf numFmtId="0" fontId="14" fillId="0" borderId="44" xfId="0" applyFont="1" applyBorder="1" applyAlignment="1">
      <alignment horizontal="left" vertical="center"/>
    </xf>
    <xf numFmtId="0" fontId="14" fillId="0" borderId="53" xfId="0" applyFont="1" applyBorder="1" applyAlignment="1">
      <alignment horizontal="left" vertical="center"/>
    </xf>
    <xf numFmtId="0" fontId="7" fillId="15" borderId="2" xfId="0" applyFont="1" applyFill="1" applyBorder="1" applyAlignment="1" applyProtection="1">
      <alignment horizontal="left" vertical="top" wrapText="1"/>
      <protection locked="0"/>
    </xf>
    <xf numFmtId="0" fontId="7" fillId="15" borderId="3" xfId="0" applyFont="1" applyFill="1" applyBorder="1" applyAlignment="1" applyProtection="1">
      <alignment horizontal="left" vertical="top" wrapText="1"/>
      <protection locked="0"/>
    </xf>
    <xf numFmtId="0" fontId="7" fillId="15" borderId="4" xfId="0" applyFont="1" applyFill="1" applyBorder="1" applyAlignment="1" applyProtection="1">
      <alignment horizontal="left" vertical="top" wrapText="1"/>
      <protection locked="0"/>
    </xf>
    <xf numFmtId="0" fontId="5" fillId="0" borderId="10" xfId="0" applyFont="1" applyBorder="1" applyAlignment="1">
      <alignment horizontal="left" vertical="center"/>
    </xf>
    <xf numFmtId="0" fontId="5" fillId="0" borderId="45" xfId="0" applyFont="1" applyBorder="1" applyAlignment="1">
      <alignment horizontal="left" vertical="center"/>
    </xf>
    <xf numFmtId="0" fontId="5" fillId="0" borderId="48" xfId="0" applyFont="1" applyBorder="1" applyAlignment="1">
      <alignment horizontal="left" vertical="center"/>
    </xf>
    <xf numFmtId="0" fontId="5" fillId="7" borderId="10" xfId="0" applyFont="1" applyFill="1" applyBorder="1" applyAlignment="1" applyProtection="1">
      <alignment horizontal="center" vertical="center"/>
      <protection locked="0"/>
    </xf>
    <xf numFmtId="0" fontId="5" fillId="7" borderId="45" xfId="0" applyFont="1" applyFill="1" applyBorder="1" applyAlignment="1" applyProtection="1">
      <alignment horizontal="center" vertical="center"/>
      <protection locked="0"/>
    </xf>
    <xf numFmtId="0" fontId="5" fillId="7" borderId="48" xfId="0" applyFont="1" applyFill="1" applyBorder="1" applyAlignment="1" applyProtection="1">
      <alignment horizontal="center" vertical="center"/>
      <protection locked="0"/>
    </xf>
    <xf numFmtId="0" fontId="5" fillId="15" borderId="11" xfId="0" applyFont="1" applyFill="1" applyBorder="1" applyAlignment="1" applyProtection="1">
      <alignment horizontal="left" vertical="top"/>
      <protection locked="0"/>
    </xf>
    <xf numFmtId="0" fontId="5" fillId="15" borderId="50" xfId="0" applyFont="1" applyFill="1" applyBorder="1" applyAlignment="1" applyProtection="1">
      <alignment horizontal="left" vertical="top"/>
      <protection locked="0"/>
    </xf>
    <xf numFmtId="0" fontId="5" fillId="15" borderId="60" xfId="0" applyFont="1" applyFill="1" applyBorder="1" applyAlignment="1" applyProtection="1">
      <alignment horizontal="left" vertical="top"/>
      <protection locked="0"/>
    </xf>
    <xf numFmtId="0" fontId="5" fillId="15" borderId="46" xfId="0" applyFont="1" applyFill="1" applyBorder="1" applyAlignment="1" applyProtection="1">
      <alignment horizontal="left" vertical="top"/>
      <protection locked="0"/>
    </xf>
    <xf numFmtId="0" fontId="5" fillId="15" borderId="0" xfId="0" applyFont="1" applyFill="1" applyAlignment="1" applyProtection="1">
      <alignment horizontal="left" vertical="top"/>
      <protection locked="0"/>
    </xf>
    <xf numFmtId="0" fontId="5" fillId="15" borderId="61" xfId="0" applyFont="1" applyFill="1" applyBorder="1" applyAlignment="1" applyProtection="1">
      <alignment horizontal="left" vertical="top"/>
      <protection locked="0"/>
    </xf>
    <xf numFmtId="0" fontId="5" fillId="15" borderId="49" xfId="0" applyFont="1" applyFill="1" applyBorder="1" applyAlignment="1" applyProtection="1">
      <alignment horizontal="left" vertical="top"/>
      <protection locked="0"/>
    </xf>
    <xf numFmtId="0" fontId="5" fillId="15" borderId="56" xfId="0" applyFont="1" applyFill="1" applyBorder="1" applyAlignment="1" applyProtection="1">
      <alignment horizontal="left" vertical="top"/>
      <protection locked="0"/>
    </xf>
    <xf numFmtId="0" fontId="5" fillId="15" borderId="24" xfId="0" applyFont="1" applyFill="1" applyBorder="1" applyAlignment="1" applyProtection="1">
      <alignment horizontal="left" vertical="top"/>
      <protection locked="0"/>
    </xf>
    <xf numFmtId="9" fontId="7" fillId="7" borderId="43" xfId="1" applyFont="1" applyFill="1" applyBorder="1" applyAlignment="1" applyProtection="1">
      <alignment horizontal="center" vertical="center"/>
      <protection hidden="1"/>
    </xf>
    <xf numFmtId="9" fontId="7" fillId="7" borderId="47" xfId="1" applyFont="1" applyFill="1" applyBorder="1" applyAlignment="1" applyProtection="1">
      <alignment horizontal="center" vertical="center"/>
      <protection hidden="1"/>
    </xf>
    <xf numFmtId="9" fontId="7" fillId="7" borderId="75" xfId="1" applyFont="1" applyFill="1" applyBorder="1" applyAlignment="1" applyProtection="1">
      <alignment horizontal="center" vertical="center"/>
      <protection hidden="1"/>
    </xf>
    <xf numFmtId="0" fontId="9" fillId="7" borderId="42" xfId="0" applyFont="1" applyFill="1" applyBorder="1" applyAlignment="1" applyProtection="1">
      <alignment horizontal="left" vertical="center"/>
      <protection hidden="1"/>
    </xf>
    <xf numFmtId="0" fontId="9" fillId="7" borderId="44" xfId="0" applyFont="1" applyFill="1" applyBorder="1" applyAlignment="1" applyProtection="1">
      <alignment horizontal="left" vertical="center"/>
      <protection hidden="1"/>
    </xf>
    <xf numFmtId="0" fontId="8" fillId="3" borderId="98" xfId="0" applyFont="1" applyFill="1" applyBorder="1" applyAlignment="1" applyProtection="1">
      <alignment horizontal="center"/>
      <protection hidden="1"/>
    </xf>
    <xf numFmtId="0" fontId="8" fillId="3" borderId="99" xfId="0" applyFont="1" applyFill="1" applyBorder="1" applyAlignment="1" applyProtection="1">
      <alignment horizontal="center"/>
      <protection hidden="1"/>
    </xf>
    <xf numFmtId="0" fontId="8" fillId="3" borderId="100" xfId="0" applyFont="1" applyFill="1" applyBorder="1" applyAlignment="1" applyProtection="1">
      <alignment horizontal="center"/>
      <protection hidden="1"/>
    </xf>
    <xf numFmtId="0" fontId="8" fillId="6" borderId="35" xfId="0" applyFont="1" applyFill="1" applyBorder="1" applyAlignment="1" applyProtection="1">
      <alignment horizontal="center"/>
      <protection hidden="1"/>
    </xf>
    <xf numFmtId="0" fontId="8" fillId="6" borderId="36" xfId="0" applyFont="1" applyFill="1" applyBorder="1" applyAlignment="1" applyProtection="1">
      <alignment horizontal="center"/>
      <protection hidden="1"/>
    </xf>
    <xf numFmtId="0" fontId="8" fillId="6" borderId="38" xfId="0" applyFont="1" applyFill="1" applyBorder="1" applyAlignment="1" applyProtection="1">
      <alignment horizontal="center" vertical="center"/>
      <protection hidden="1"/>
    </xf>
    <xf numFmtId="0" fontId="8" fillId="6" borderId="39" xfId="0" applyFont="1" applyFill="1" applyBorder="1" applyAlignment="1" applyProtection="1">
      <alignment horizontal="center" vertical="center"/>
      <protection hidden="1"/>
    </xf>
    <xf numFmtId="0" fontId="8" fillId="6" borderId="40" xfId="0" applyFont="1" applyFill="1" applyBorder="1" applyAlignment="1" applyProtection="1">
      <alignment horizontal="center" vertical="center"/>
      <protection hidden="1"/>
    </xf>
    <xf numFmtId="0" fontId="7" fillId="7" borderId="10" xfId="0" applyFont="1" applyFill="1" applyBorder="1" applyAlignment="1" applyProtection="1">
      <alignment horizontal="center" vertical="center"/>
      <protection hidden="1"/>
    </xf>
    <xf numFmtId="0" fontId="7" fillId="7" borderId="48" xfId="0" applyFont="1" applyFill="1" applyBorder="1" applyAlignment="1" applyProtection="1">
      <alignment horizontal="center" vertical="center"/>
      <protection hidden="1"/>
    </xf>
    <xf numFmtId="0" fontId="7" fillId="7" borderId="45" xfId="0" applyFont="1" applyFill="1" applyBorder="1" applyAlignment="1" applyProtection="1">
      <alignment horizontal="center" vertical="center"/>
      <protection hidden="1"/>
    </xf>
    <xf numFmtId="9" fontId="7" fillId="7" borderId="51" xfId="0" applyNumberFormat="1" applyFont="1" applyFill="1" applyBorder="1" applyAlignment="1" applyProtection="1">
      <alignment horizontal="center" vertical="center"/>
      <protection hidden="1"/>
    </xf>
    <xf numFmtId="9" fontId="7" fillId="7" borderId="52" xfId="0" applyNumberFormat="1" applyFont="1" applyFill="1" applyBorder="1" applyAlignment="1" applyProtection="1">
      <alignment horizontal="center" vertical="center"/>
      <protection hidden="1"/>
    </xf>
    <xf numFmtId="9" fontId="7" fillId="7" borderId="54" xfId="0" applyNumberFormat="1" applyFont="1" applyFill="1" applyBorder="1" applyAlignment="1" applyProtection="1">
      <alignment horizontal="center" vertical="center"/>
      <protection hidden="1"/>
    </xf>
    <xf numFmtId="0" fontId="3" fillId="9" borderId="62" xfId="0" applyFont="1" applyFill="1" applyBorder="1" applyAlignment="1" applyProtection="1">
      <alignment horizontal="center"/>
      <protection hidden="1"/>
    </xf>
    <xf numFmtId="0" fontId="3" fillId="3" borderId="71" xfId="0" applyFont="1" applyFill="1" applyBorder="1" applyAlignment="1" applyProtection="1">
      <alignment horizontal="center"/>
      <protection hidden="1"/>
    </xf>
    <xf numFmtId="0" fontId="3" fillId="3" borderId="81" xfId="0" applyFont="1" applyFill="1" applyBorder="1" applyAlignment="1" applyProtection="1">
      <alignment horizontal="center"/>
      <protection hidden="1"/>
    </xf>
    <xf numFmtId="0" fontId="3" fillId="3" borderId="70" xfId="0" applyFont="1" applyFill="1" applyBorder="1" applyAlignment="1" applyProtection="1">
      <alignment horizontal="center"/>
      <protection hidden="1"/>
    </xf>
    <xf numFmtId="0" fontId="4" fillId="6" borderId="71" xfId="0" applyFont="1" applyFill="1" applyBorder="1" applyAlignment="1">
      <alignment horizontal="center" vertical="center"/>
    </xf>
    <xf numFmtId="0" fontId="4" fillId="6" borderId="81" xfId="0" applyFont="1" applyFill="1" applyBorder="1" applyAlignment="1">
      <alignment horizontal="center" vertical="center"/>
    </xf>
    <xf numFmtId="0" fontId="4" fillId="6" borderId="70" xfId="0" applyFont="1" applyFill="1" applyBorder="1" applyAlignment="1">
      <alignment horizontal="center" vertical="center"/>
    </xf>
    <xf numFmtId="0" fontId="3" fillId="12" borderId="71" xfId="0" applyFont="1" applyFill="1" applyBorder="1" applyAlignment="1" applyProtection="1">
      <alignment horizontal="center"/>
      <protection hidden="1"/>
    </xf>
    <xf numFmtId="0" fontId="3" fillId="12" borderId="81" xfId="0" applyFont="1" applyFill="1" applyBorder="1" applyAlignment="1" applyProtection="1">
      <alignment horizontal="center"/>
      <protection hidden="1"/>
    </xf>
    <xf numFmtId="0" fontId="3" fillId="12" borderId="70" xfId="0" applyFont="1" applyFill="1" applyBorder="1" applyAlignment="1" applyProtection="1">
      <alignment horizontal="center"/>
      <protection hidden="1"/>
    </xf>
    <xf numFmtId="0" fontId="3" fillId="11" borderId="62" xfId="0" applyFont="1" applyFill="1" applyBorder="1" applyAlignment="1" applyProtection="1">
      <alignment horizontal="center"/>
      <protection hidden="1"/>
    </xf>
    <xf numFmtId="0" fontId="3" fillId="14" borderId="81" xfId="0" applyFont="1" applyFill="1" applyBorder="1" applyAlignment="1" applyProtection="1">
      <alignment horizontal="center" vertical="center"/>
      <protection hidden="1"/>
    </xf>
    <xf numFmtId="0" fontId="3" fillId="14" borderId="71" xfId="0" applyFont="1" applyFill="1" applyBorder="1" applyAlignment="1" applyProtection="1">
      <alignment horizontal="center" vertical="center"/>
      <protection hidden="1"/>
    </xf>
    <xf numFmtId="0" fontId="3" fillId="14" borderId="70" xfId="0" applyFont="1" applyFill="1" applyBorder="1" applyAlignment="1" applyProtection="1">
      <alignment horizontal="center" vertical="center"/>
      <protection hidden="1"/>
    </xf>
    <xf numFmtId="0" fontId="4" fillId="8" borderId="71" xfId="0" applyFont="1" applyFill="1" applyBorder="1" applyAlignment="1">
      <alignment horizontal="center"/>
    </xf>
    <xf numFmtId="0" fontId="4" fillId="8" borderId="70" xfId="0" applyFont="1" applyFill="1" applyBorder="1" applyAlignment="1">
      <alignment horizontal="center"/>
    </xf>
    <xf numFmtId="0" fontId="4" fillId="10" borderId="65" xfId="0" applyFont="1" applyFill="1" applyBorder="1" applyAlignment="1">
      <alignment horizontal="center" vertical="center"/>
    </xf>
    <xf numFmtId="0" fontId="4" fillId="10" borderId="68" xfId="0" applyFont="1" applyFill="1" applyBorder="1" applyAlignment="1">
      <alignment horizontal="center" vertical="center"/>
    </xf>
    <xf numFmtId="0" fontId="4" fillId="14" borderId="71" xfId="0" applyFont="1" applyFill="1" applyBorder="1" applyAlignment="1">
      <alignment horizontal="center" vertical="center"/>
    </xf>
    <xf numFmtId="0" fontId="4" fillId="14" borderId="70" xfId="0" applyFont="1" applyFill="1" applyBorder="1" applyAlignment="1">
      <alignment horizontal="center" vertical="center"/>
    </xf>
    <xf numFmtId="0" fontId="4" fillId="8" borderId="81" xfId="0" applyFont="1" applyFill="1" applyBorder="1" applyAlignment="1">
      <alignment horizontal="center"/>
    </xf>
    <xf numFmtId="0" fontId="3" fillId="8" borderId="71" xfId="0" applyFont="1" applyFill="1" applyBorder="1" applyAlignment="1" applyProtection="1">
      <alignment horizontal="center"/>
      <protection hidden="1"/>
    </xf>
    <xf numFmtId="0" fontId="3" fillId="8" borderId="81" xfId="0" applyFont="1" applyFill="1" applyBorder="1" applyAlignment="1" applyProtection="1">
      <alignment horizontal="center"/>
      <protection hidden="1"/>
    </xf>
    <xf numFmtId="0" fontId="3" fillId="8" borderId="70" xfId="0" applyFont="1" applyFill="1" applyBorder="1" applyAlignment="1" applyProtection="1">
      <alignment horizontal="center"/>
      <protection hidden="1"/>
    </xf>
    <xf numFmtId="0" fontId="4" fillId="10" borderId="63" xfId="0" applyFont="1" applyFill="1" applyBorder="1" applyAlignment="1">
      <alignment horizontal="center" vertical="center"/>
    </xf>
    <xf numFmtId="0" fontId="4" fillId="10" borderId="64" xfId="0" applyFont="1" applyFill="1" applyBorder="1" applyAlignment="1">
      <alignment horizontal="center" vertical="center"/>
    </xf>
    <xf numFmtId="0" fontId="4" fillId="10" borderId="66" xfId="0" applyFont="1" applyFill="1" applyBorder="1" applyAlignment="1">
      <alignment horizontal="center" vertical="center"/>
    </xf>
    <xf numFmtId="0" fontId="4" fillId="10" borderId="67" xfId="0" applyFont="1" applyFill="1" applyBorder="1" applyAlignment="1">
      <alignment horizontal="center" vertical="center"/>
    </xf>
    <xf numFmtId="0" fontId="4" fillId="15" borderId="81" xfId="0" applyFont="1" applyFill="1" applyBorder="1" applyAlignment="1">
      <alignment horizontal="center" vertical="center"/>
    </xf>
    <xf numFmtId="0" fontId="4" fillId="15" borderId="70" xfId="0" applyFont="1" applyFill="1" applyBorder="1" applyAlignment="1">
      <alignment horizontal="center" vertical="center"/>
    </xf>
    <xf numFmtId="0" fontId="12" fillId="7" borderId="46" xfId="0" applyFont="1" applyFill="1" applyBorder="1" applyAlignment="1" applyProtection="1">
      <alignment horizontal="left" vertical="top"/>
      <protection locked="0"/>
    </xf>
    <xf numFmtId="0" fontId="12" fillId="7" borderId="0" xfId="0" applyFont="1" applyFill="1" applyAlignment="1" applyProtection="1">
      <alignment horizontal="left" vertical="top"/>
      <protection locked="0"/>
    </xf>
    <xf numFmtId="0" fontId="12" fillId="7" borderId="61" xfId="0" applyFont="1" applyFill="1" applyBorder="1" applyAlignment="1" applyProtection="1">
      <alignment horizontal="left" vertical="top"/>
      <protection locked="0"/>
    </xf>
    <xf numFmtId="0" fontId="5" fillId="0" borderId="1" xfId="0" applyFont="1" applyBorder="1" applyAlignment="1">
      <alignment horizontal="left" vertical="center"/>
    </xf>
    <xf numFmtId="0" fontId="3" fillId="0" borderId="85" xfId="0" applyFont="1" applyBorder="1" applyAlignment="1" applyProtection="1">
      <alignment horizontal="center"/>
      <protection hidden="1"/>
    </xf>
    <xf numFmtId="0" fontId="3" fillId="0" borderId="86" xfId="0" applyFont="1" applyBorder="1" applyAlignment="1" applyProtection="1">
      <alignment horizontal="center"/>
      <protection hidden="1"/>
    </xf>
    <xf numFmtId="0" fontId="3" fillId="0" borderId="87" xfId="0" applyFont="1" applyBorder="1" applyAlignment="1" applyProtection="1">
      <alignment horizontal="center"/>
      <protection hidden="1"/>
    </xf>
    <xf numFmtId="0" fontId="7" fillId="0" borderId="1" xfId="0" applyFont="1" applyBorder="1" applyAlignment="1" applyProtection="1">
      <alignment horizontal="left" vertical="center"/>
      <protection locked="0"/>
    </xf>
    <xf numFmtId="14" fontId="0" fillId="22" borderId="1" xfId="0" applyNumberFormat="1" applyFill="1" applyBorder="1" applyAlignment="1" applyProtection="1">
      <alignment horizontal="center" vertical="center"/>
      <protection hidden="1"/>
    </xf>
    <xf numFmtId="0" fontId="0" fillId="22" borderId="1" xfId="0" applyFill="1" applyBorder="1" applyAlignment="1" applyProtection="1">
      <alignment horizontal="center" vertical="center"/>
      <protection hidden="1"/>
    </xf>
    <xf numFmtId="0" fontId="7" fillId="0" borderId="48" xfId="0" applyFont="1" applyBorder="1" applyAlignment="1" applyProtection="1">
      <alignment horizontal="left" vertical="center"/>
      <protection locked="0"/>
    </xf>
    <xf numFmtId="0" fontId="8" fillId="6" borderId="102" xfId="0" applyFont="1" applyFill="1" applyBorder="1" applyAlignment="1" applyProtection="1">
      <alignment horizontal="center" vertical="center"/>
      <protection hidden="1"/>
    </xf>
    <xf numFmtId="0" fontId="8" fillId="6" borderId="89" xfId="0" applyFont="1" applyFill="1" applyBorder="1" applyAlignment="1" applyProtection="1">
      <alignment horizontal="center" vertical="center"/>
      <protection hidden="1"/>
    </xf>
    <xf numFmtId="0" fontId="8" fillId="6" borderId="103" xfId="0" applyFont="1" applyFill="1" applyBorder="1" applyAlignment="1" applyProtection="1">
      <alignment horizontal="center" vertical="center"/>
      <protection hidden="1"/>
    </xf>
    <xf numFmtId="0" fontId="7" fillId="15" borderId="11" xfId="0" applyFont="1" applyFill="1" applyBorder="1" applyAlignment="1" applyProtection="1">
      <alignment horizontal="left" vertical="top" wrapText="1"/>
      <protection locked="0"/>
    </xf>
    <xf numFmtId="0" fontId="7" fillId="15" borderId="50" xfId="0" applyFont="1" applyFill="1" applyBorder="1" applyAlignment="1" applyProtection="1">
      <alignment horizontal="left" vertical="top" wrapText="1"/>
      <protection locked="0"/>
    </xf>
    <xf numFmtId="0" fontId="7" fillId="15" borderId="46" xfId="0" applyFont="1" applyFill="1" applyBorder="1" applyAlignment="1" applyProtection="1">
      <alignment horizontal="left" vertical="top" wrapText="1"/>
      <protection locked="0"/>
    </xf>
    <xf numFmtId="0" fontId="7" fillId="15" borderId="0" xfId="0" applyFont="1" applyFill="1" applyAlignment="1" applyProtection="1">
      <alignment horizontal="left" vertical="top" wrapText="1"/>
      <protection locked="0"/>
    </xf>
    <xf numFmtId="0" fontId="7" fillId="15" borderId="49" xfId="0" applyFont="1" applyFill="1" applyBorder="1" applyAlignment="1" applyProtection="1">
      <alignment horizontal="left" vertical="top" wrapText="1"/>
      <protection locked="0"/>
    </xf>
    <xf numFmtId="0" fontId="7" fillId="15" borderId="56" xfId="0" applyFont="1" applyFill="1" applyBorder="1" applyAlignment="1" applyProtection="1">
      <alignment horizontal="left" vertical="top" wrapText="1"/>
      <protection locked="0"/>
    </xf>
    <xf numFmtId="0" fontId="14" fillId="0" borderId="105" xfId="0" applyFont="1" applyBorder="1" applyAlignment="1">
      <alignment horizontal="left" vertical="center"/>
    </xf>
    <xf numFmtId="0" fontId="7" fillId="7" borderId="55" xfId="0" applyFont="1" applyFill="1" applyBorder="1" applyAlignment="1" applyProtection="1">
      <alignment horizontal="center" vertical="center"/>
      <protection hidden="1"/>
    </xf>
    <xf numFmtId="0" fontId="5" fillId="7" borderId="11" xfId="0" applyFont="1" applyFill="1" applyBorder="1" applyAlignment="1">
      <alignment horizontal="center" vertical="center"/>
    </xf>
    <xf numFmtId="0" fontId="5" fillId="7" borderId="46" xfId="0" applyFont="1" applyFill="1" applyBorder="1" applyAlignment="1">
      <alignment horizontal="center" vertical="center"/>
    </xf>
    <xf numFmtId="0" fontId="5" fillId="7" borderId="49" xfId="0" applyFont="1" applyFill="1" applyBorder="1" applyAlignment="1">
      <alignment horizontal="center" vertical="center"/>
    </xf>
    <xf numFmtId="0" fontId="5" fillId="7" borderId="1" xfId="0" applyFont="1" applyFill="1" applyBorder="1" applyAlignment="1">
      <alignment horizontal="center" vertical="center"/>
    </xf>
    <xf numFmtId="0" fontId="12" fillId="7" borderId="10" xfId="0" applyFont="1" applyFill="1" applyBorder="1" applyAlignment="1" applyProtection="1">
      <alignment horizontal="right" vertical="center"/>
      <protection locked="0"/>
    </xf>
    <xf numFmtId="0" fontId="0" fillId="0" borderId="45" xfId="0" applyBorder="1" applyAlignment="1" applyProtection="1">
      <alignment horizontal="right" vertical="center"/>
      <protection locked="0"/>
    </xf>
    <xf numFmtId="0" fontId="0" fillId="0" borderId="48" xfId="0" applyBorder="1" applyAlignment="1" applyProtection="1">
      <alignment horizontal="right" vertical="center"/>
      <protection locked="0"/>
    </xf>
    <xf numFmtId="0" fontId="7" fillId="7" borderId="52" xfId="0" applyFont="1" applyFill="1" applyBorder="1" applyAlignment="1" applyProtection="1">
      <alignment horizontal="center" vertical="center"/>
      <protection hidden="1"/>
    </xf>
    <xf numFmtId="0" fontId="7" fillId="7" borderId="106" xfId="0" applyFont="1" applyFill="1" applyBorder="1" applyAlignment="1" applyProtection="1">
      <alignment horizontal="center" vertical="center"/>
      <protection hidden="1"/>
    </xf>
    <xf numFmtId="0" fontId="5" fillId="0" borderId="1" xfId="0" applyFont="1" applyBorder="1" applyAlignment="1">
      <alignment horizontal="center"/>
    </xf>
    <xf numFmtId="9" fontId="7" fillId="7" borderId="55" xfId="1" applyFont="1" applyFill="1" applyBorder="1" applyAlignment="1" applyProtection="1">
      <alignment horizontal="center" vertical="center"/>
      <protection hidden="1"/>
    </xf>
    <xf numFmtId="0" fontId="14" fillId="0" borderId="1" xfId="0" applyFont="1" applyBorder="1" applyAlignment="1">
      <alignment horizontal="left" vertical="center"/>
    </xf>
    <xf numFmtId="0" fontId="7" fillId="15" borderId="58" xfId="0" applyFont="1" applyFill="1" applyBorder="1" applyAlignment="1" applyProtection="1">
      <alignment horizontal="left" vertical="top" wrapText="1"/>
      <protection locked="0"/>
    </xf>
    <xf numFmtId="0" fontId="7" fillId="15" borderId="59" xfId="0" applyFont="1" applyFill="1" applyBorder="1" applyAlignment="1" applyProtection="1">
      <alignment horizontal="left" vertical="top" wrapText="1"/>
      <protection locked="0"/>
    </xf>
    <xf numFmtId="0" fontId="7" fillId="15" borderId="48" xfId="0" applyFont="1" applyFill="1" applyBorder="1" applyAlignment="1" applyProtection="1">
      <alignment horizontal="left" vertical="top" wrapText="1"/>
      <protection locked="0"/>
    </xf>
    <xf numFmtId="0" fontId="7" fillId="15" borderId="1" xfId="0" applyFont="1" applyFill="1" applyBorder="1" applyAlignment="1" applyProtection="1">
      <alignment horizontal="left" vertical="top" wrapText="1"/>
      <protection locked="0"/>
    </xf>
    <xf numFmtId="0" fontId="7" fillId="0" borderId="16" xfId="0" applyFont="1" applyBorder="1" applyAlignment="1" applyProtection="1">
      <alignment horizontal="left" vertical="center"/>
      <protection locked="0"/>
    </xf>
    <xf numFmtId="0" fontId="7" fillId="0" borderId="17" xfId="0" applyFont="1" applyBorder="1" applyAlignment="1" applyProtection="1">
      <alignment horizontal="left" vertical="center"/>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8" fillId="3" borderId="107" xfId="0" applyFont="1" applyFill="1" applyBorder="1" applyAlignment="1" applyProtection="1">
      <alignment horizontal="center"/>
      <protection hidden="1"/>
    </xf>
    <xf numFmtId="0" fontId="8" fillId="3" borderId="108" xfId="0" applyFont="1" applyFill="1" applyBorder="1" applyAlignment="1" applyProtection="1">
      <alignment horizontal="center"/>
      <protection hidden="1"/>
    </xf>
    <xf numFmtId="0" fontId="8" fillId="3" borderId="109" xfId="0" applyFont="1" applyFill="1" applyBorder="1" applyAlignment="1" applyProtection="1">
      <alignment horizontal="center"/>
      <protection hidden="1"/>
    </xf>
    <xf numFmtId="0" fontId="7" fillId="15" borderId="60" xfId="0" applyFont="1" applyFill="1" applyBorder="1" applyAlignment="1" applyProtection="1">
      <alignment horizontal="left" vertical="top" wrapText="1"/>
      <protection locked="0"/>
    </xf>
    <xf numFmtId="0" fontId="7" fillId="15" borderId="61" xfId="0" applyFont="1" applyFill="1" applyBorder="1" applyAlignment="1" applyProtection="1">
      <alignment horizontal="left" vertical="top" wrapText="1"/>
      <protection locked="0"/>
    </xf>
    <xf numFmtId="0" fontId="7" fillId="15" borderId="24" xfId="0" applyFont="1" applyFill="1" applyBorder="1" applyAlignment="1" applyProtection="1">
      <alignment horizontal="left" vertical="top" wrapText="1"/>
      <protection locked="0"/>
    </xf>
    <xf numFmtId="9" fontId="7" fillId="7" borderId="84" xfId="0" applyNumberFormat="1" applyFont="1" applyFill="1" applyBorder="1" applyAlignment="1" applyProtection="1">
      <alignment horizontal="center" vertical="center"/>
      <protection hidden="1"/>
    </xf>
    <xf numFmtId="0" fontId="5" fillId="0" borderId="0" xfId="0" applyFont="1" applyAlignment="1">
      <alignment horizontal="left" wrapText="1"/>
    </xf>
    <xf numFmtId="0" fontId="5" fillId="0" borderId="0" xfId="0" applyFont="1" applyAlignment="1">
      <alignment horizontal="left"/>
    </xf>
    <xf numFmtId="0" fontId="7" fillId="0" borderId="20" xfId="0" applyFont="1" applyBorder="1" applyAlignment="1" applyProtection="1">
      <alignment horizontal="left" vertical="center"/>
      <protection locked="0"/>
    </xf>
    <xf numFmtId="0" fontId="7" fillId="0" borderId="21" xfId="0" applyFont="1" applyBorder="1" applyAlignment="1" applyProtection="1">
      <alignment horizontal="left" vertical="center"/>
      <protection locked="0"/>
    </xf>
    <xf numFmtId="0" fontId="7" fillId="0" borderId="20" xfId="0" quotePrefix="1" applyFont="1" applyBorder="1" applyAlignment="1" applyProtection="1">
      <alignment horizontal="left" vertical="center"/>
      <protection locked="0"/>
    </xf>
    <xf numFmtId="0" fontId="8" fillId="3" borderId="29" xfId="0" applyFont="1" applyFill="1" applyBorder="1" applyAlignment="1" applyProtection="1">
      <alignment horizontal="left" vertical="center"/>
      <protection hidden="1"/>
    </xf>
    <xf numFmtId="0" fontId="8" fillId="3" borderId="31" xfId="0" applyFont="1" applyFill="1" applyBorder="1" applyAlignment="1" applyProtection="1">
      <alignment horizontal="left" vertical="center"/>
      <protection hidden="1"/>
    </xf>
    <xf numFmtId="0" fontId="8" fillId="3" borderId="33" xfId="0" applyFont="1" applyFill="1" applyBorder="1" applyAlignment="1" applyProtection="1">
      <alignment horizontal="left" vertical="center"/>
      <protection hidden="1"/>
    </xf>
    <xf numFmtId="0" fontId="7" fillId="15" borderId="30" xfId="0" applyFont="1" applyFill="1" applyBorder="1" applyAlignment="1" applyProtection="1">
      <alignment horizontal="left" vertical="top" wrapText="1"/>
      <protection locked="0"/>
    </xf>
    <xf numFmtId="0" fontId="7" fillId="15" borderId="32" xfId="0" applyFont="1" applyFill="1" applyBorder="1" applyAlignment="1" applyProtection="1">
      <alignment horizontal="left" vertical="top" wrapText="1"/>
      <protection locked="0"/>
    </xf>
    <xf numFmtId="0" fontId="7" fillId="15" borderId="34" xfId="0" applyFont="1" applyFill="1" applyBorder="1" applyAlignment="1" applyProtection="1">
      <alignment horizontal="left" vertical="top" wrapText="1"/>
      <protection locked="0"/>
    </xf>
    <xf numFmtId="9" fontId="11" fillId="5" borderId="73" xfId="1" applyFont="1" applyFill="1" applyBorder="1" applyAlignment="1" applyProtection="1">
      <alignment horizontal="center" vertical="center"/>
    </xf>
    <xf numFmtId="9" fontId="11" fillId="5" borderId="1" xfId="1" applyFont="1" applyFill="1" applyBorder="1" applyAlignment="1" applyProtection="1">
      <alignment horizontal="center" vertical="center"/>
    </xf>
    <xf numFmtId="0" fontId="7" fillId="0" borderId="23" xfId="0" applyFont="1" applyBorder="1" applyAlignment="1" applyProtection="1">
      <alignment horizontal="left" vertical="center"/>
      <protection locked="0"/>
    </xf>
    <xf numFmtId="0" fontId="7" fillId="0" borderId="24" xfId="0" applyFont="1" applyBorder="1" applyAlignment="1" applyProtection="1">
      <alignment horizontal="left" vertical="center"/>
      <protection locked="0"/>
    </xf>
    <xf numFmtId="0" fontId="12" fillId="7" borderId="49" xfId="0" applyFont="1" applyFill="1" applyBorder="1" applyAlignment="1" applyProtection="1">
      <alignment horizontal="left" vertical="top"/>
      <protection locked="0"/>
    </xf>
    <xf numFmtId="0" fontId="12" fillId="7" borderId="56" xfId="0" applyFont="1" applyFill="1" applyBorder="1" applyAlignment="1" applyProtection="1">
      <alignment horizontal="left" vertical="top"/>
      <protection locked="0"/>
    </xf>
    <xf numFmtId="0" fontId="12" fillId="7" borderId="24" xfId="0" applyFont="1" applyFill="1" applyBorder="1" applyAlignment="1" applyProtection="1">
      <alignment horizontal="left" vertical="top"/>
      <protection locked="0"/>
    </xf>
    <xf numFmtId="0" fontId="12" fillId="7" borderId="10" xfId="0" applyFont="1" applyFill="1" applyBorder="1" applyAlignment="1" applyProtection="1">
      <alignment horizontal="left" vertical="center"/>
      <protection locked="0"/>
    </xf>
    <xf numFmtId="0" fontId="12" fillId="7" borderId="45" xfId="0" applyFont="1" applyFill="1" applyBorder="1" applyAlignment="1" applyProtection="1">
      <alignment horizontal="left" vertical="center"/>
      <protection locked="0"/>
    </xf>
    <xf numFmtId="0" fontId="12" fillId="7" borderId="48" xfId="0" applyFont="1" applyFill="1" applyBorder="1" applyAlignment="1" applyProtection="1">
      <alignment horizontal="left" vertical="center"/>
      <protection locked="0"/>
    </xf>
    <xf numFmtId="0" fontId="24" fillId="0" borderId="46" xfId="0" applyFont="1" applyBorder="1" applyAlignment="1" applyProtection="1">
      <alignment horizontal="center" vertical="center"/>
      <protection hidden="1"/>
    </xf>
    <xf numFmtId="0" fontId="24" fillId="0" borderId="0" xfId="0" applyFont="1" applyAlignment="1">
      <alignment vertical="center"/>
    </xf>
  </cellXfs>
  <cellStyles count="4">
    <cellStyle name="Accent1" xfId="3" builtinId="29"/>
    <cellStyle name="Normal" xfId="0" builtinId="0"/>
    <cellStyle name="Note" xfId="2" builtinId="10"/>
    <cellStyle name="Percent" xfId="1" builtinId="5"/>
  </cellStyles>
  <dxfs count="126">
    <dxf>
      <font>
        <b val="0"/>
        <i val="0"/>
        <strike val="0"/>
        <condense val="0"/>
        <extend val="0"/>
        <outline val="0"/>
        <shadow val="0"/>
        <u val="none"/>
        <vertAlign val="baseline"/>
        <sz val="9"/>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168" formatCode="m/d/yyyy"/>
      <alignment horizontal="left" vertical="center" textRotation="0" wrapText="0" indent="0" justifyLastLine="0" shrinkToFit="0" readingOrder="0"/>
    </dxf>
    <dxf>
      <font>
        <b val="0"/>
        <i val="0"/>
        <strike val="0"/>
        <condense val="0"/>
        <extend val="0"/>
        <outline val="0"/>
        <shadow val="0"/>
        <u val="none"/>
        <vertAlign val="baseline"/>
        <sz val="9"/>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9"/>
        <color theme="1"/>
        <name val="Calibri"/>
        <scheme val="minor"/>
      </font>
      <alignment horizontal="left" vertical="center" textRotation="0" wrapText="0" indent="0" justifyLastLine="0" shrinkToFit="0" readingOrder="0"/>
    </dxf>
    <dxf>
      <font>
        <b/>
        <i val="0"/>
        <color theme="0"/>
      </font>
      <fill>
        <gradientFill degree="270">
          <stop position="0">
            <color theme="0"/>
          </stop>
          <stop position="1">
            <color rgb="FFFF0000"/>
          </stop>
        </gradientFill>
      </fill>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5" formatCode="0.0000"/>
      <alignment horizontal="center" vertical="center" textRotation="0" wrapText="0" indent="0" justifyLastLine="0" shrinkToFit="0" readingOrder="0"/>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numFmt numFmtId="168" formatCode="m/d/yyyy"/>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font>
        <b val="0"/>
        <i val="0"/>
        <strike val="0"/>
        <condense val="0"/>
        <extend val="0"/>
        <outline val="0"/>
        <shadow val="0"/>
        <u val="none"/>
        <vertAlign val="baseline"/>
        <sz val="8"/>
        <color theme="1"/>
        <name val="Calibri"/>
        <scheme val="minor"/>
      </font>
      <border diagonalUp="0" diagonalDown="0">
        <left style="hair">
          <color indexed="64"/>
        </left>
        <right style="hair">
          <color indexed="64"/>
        </right>
        <top/>
        <bottom/>
        <vertical/>
        <horizontal/>
      </border>
    </dxf>
    <dxf>
      <border outline="0">
        <top style="double">
          <color indexed="64"/>
        </top>
        <bottom style="hair">
          <color indexed="64"/>
        </bottom>
      </border>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border outline="0">
        <bottom style="double">
          <color indexed="64"/>
        </bottom>
      </border>
    </dxf>
    <dxf>
      <font>
        <b val="0"/>
        <i val="0"/>
        <strike val="0"/>
        <condense val="0"/>
        <extend val="0"/>
        <outline val="0"/>
        <shadow val="0"/>
        <u val="none"/>
        <vertAlign val="baseline"/>
        <sz val="8"/>
        <color auto="1"/>
        <name val="Calibri"/>
        <scheme val="minor"/>
      </font>
      <fill>
        <patternFill patternType="solid">
          <fgColor indexed="64"/>
          <bgColor rgb="FFFDFBCF"/>
        </patternFill>
      </fill>
      <alignment horizontal="center" vertical="center" textRotation="0" wrapText="0" indent="0" justifyLastLine="0" shrinkToFit="0" readingOrder="0"/>
      <border diagonalUp="0" diagonalDown="0" outline="0">
        <left style="double">
          <color indexed="64"/>
        </left>
        <right style="double">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gradientFill degree="270">
          <stop position="0">
            <color theme="0"/>
          </stop>
          <stop position="1">
            <color rgb="FFFF0000"/>
          </stop>
        </gradientFill>
      </fill>
    </dxf>
  </dxfs>
  <tableStyles count="0" defaultTableStyle="TableStyleMedium2" defaultPivotStyle="PivotStyleLight16"/>
  <colors>
    <mruColors>
      <color rgb="FFBC8B44"/>
      <color rgb="FFFDFBCF"/>
      <color rgb="FFE7E2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CheckBox" fmlaLink="$F$27" lockText="1" noThreeD="1"/>
</file>

<file path=xl/ctrlProps/ctrlProp2.xml><?xml version="1.0" encoding="utf-8"?>
<formControlPr xmlns="http://schemas.microsoft.com/office/spreadsheetml/2009/9/main" objectType="CheckBox" fmlaLink="$F$28" lockText="1" noThreeD="1"/>
</file>

<file path=xl/ctrlProps/ctrlProp3.xml><?xml version="1.0" encoding="utf-8"?>
<formControlPr xmlns="http://schemas.microsoft.com/office/spreadsheetml/2009/9/main" objectType="CheckBox" fmlaLink="$F$29" lockText="1" noThreeD="1"/>
</file>

<file path=xl/ctrlProps/ctrlProp4.xml><?xml version="1.0" encoding="utf-8"?>
<formControlPr xmlns="http://schemas.microsoft.com/office/spreadsheetml/2009/9/main" objectType="CheckBox" fmlaLink="$F$30" lockText="1" noThreeD="1"/>
</file>

<file path=xl/ctrlProps/ctrlProp5.xml><?xml version="1.0" encoding="utf-8"?>
<formControlPr xmlns="http://schemas.microsoft.com/office/spreadsheetml/2009/9/main" objectType="CheckBox" fmlaLink="$F$31" lockText="1" noThreeD="1"/>
</file>

<file path=xl/ctrlProps/ctrlProp6.xml><?xml version="1.0" encoding="utf-8"?>
<formControlPr xmlns="http://schemas.microsoft.com/office/spreadsheetml/2009/9/main" objectType="CheckBox" fmlaLink="$F$32" lockText="1" noThreeD="1"/>
</file>

<file path=xl/ctrlProps/ctrlProp7.xml><?xml version="1.0" encoding="utf-8"?>
<formControlPr xmlns="http://schemas.microsoft.com/office/spreadsheetml/2009/9/main" objectType="CheckBox" fmlaLink="$F$33" lockText="1" noThreeD="1"/>
</file>

<file path=xl/ctrlProps/ctrlProp8.xml><?xml version="1.0" encoding="utf-8"?>
<formControlPr xmlns="http://schemas.microsoft.com/office/spreadsheetml/2009/9/main" objectType="CheckBox" fmlaLink="$F$35" lockText="1" noThreeD="1"/>
</file>

<file path=xl/ctrlProps/ctrlProp9.xml><?xml version="1.0" encoding="utf-8"?>
<formControlPr xmlns="http://schemas.microsoft.com/office/spreadsheetml/2009/9/main" objectType="CheckBox" fmlaLink="$F$41" lockText="1" noThreeD="1"/>
</file>

<file path=xl/ctrlProps/ctrlProp10.xml><?xml version="1.0" encoding="utf-8"?>
<formControlPr xmlns="http://schemas.microsoft.com/office/spreadsheetml/2009/9/main" objectType="CheckBox" fmlaLink="$F$42" lockText="1" noThreeD="1"/>
</file>

<file path=xl/ctrlProps/ctrlProp11.xml><?xml version="1.0" encoding="utf-8"?>
<formControlPr xmlns="http://schemas.microsoft.com/office/spreadsheetml/2009/9/main" objectType="CheckBox" fmlaLink="$F$43" lockText="1" noThreeD="1"/>
</file>

<file path=xl/ctrlProps/ctrlProp12.xml><?xml version="1.0" encoding="utf-8"?>
<formControlPr xmlns="http://schemas.microsoft.com/office/spreadsheetml/2009/9/main" objectType="CheckBox" fmlaLink="$F$36" lockText="1" noThreeD="1"/>
</file>

<file path=xl/ctrlProps/ctrlProp13.xml><?xml version="1.0" encoding="utf-8"?>
<formControlPr xmlns="http://schemas.microsoft.com/office/spreadsheetml/2009/9/main" objectType="CheckBox" fmlaLink="$F$37" lockText="1" noThreeD="1"/>
</file>

<file path=xl/ctrlProps/ctrlProp14.xml><?xml version="1.0" encoding="utf-8"?>
<formControlPr xmlns="http://schemas.microsoft.com/office/spreadsheetml/2009/9/main" objectType="CheckBox" fmlaLink="$F$38" lockText="1" noThreeD="1"/>
</file>

<file path=xl/ctrlProps/ctrlProp15.xml><?xml version="1.0" encoding="utf-8"?>
<formControlPr xmlns="http://schemas.microsoft.com/office/spreadsheetml/2009/9/main" objectType="CheckBox" fmlaLink="$F$40" lockText="1" noThreeD="1"/>
</file>

<file path=xl/ctrlProps/ctrlProp16.xml><?xml version="1.0" encoding="utf-8"?>
<formControlPr xmlns="http://schemas.microsoft.com/office/spreadsheetml/2009/9/main" objectType="CheckBox" fmlaLink="$F$44" lockText="1" noThreeD="1"/>
</file>

<file path=xl/ctrlProps/ctrlProp17.xml><?xml version="1.0" encoding="utf-8"?>
<formControlPr xmlns="http://schemas.microsoft.com/office/spreadsheetml/2009/9/main" objectType="CheckBox" fmlaLink="$F$45" lockText="1" noThreeD="1"/>
</file>

<file path=xl/ctrlProps/ctrlProp18.xml><?xml version="1.0" encoding="utf-8"?>
<formControlPr xmlns="http://schemas.microsoft.com/office/spreadsheetml/2009/9/main" objectType="CheckBox" fmlaLink="$F$46" lockText="1" noThreeD="1"/>
</file>

<file path=xl/ctrlProps/ctrlProp19.xml><?xml version="1.0" encoding="utf-8"?>
<formControlPr xmlns="http://schemas.microsoft.com/office/spreadsheetml/2009/9/main" objectType="CheckBox" fmlaLink="$F$52" lockText="1" noThreeD="1"/>
</file>

<file path=xl/ctrlProps/ctrlProp20.xml><?xml version="1.0" encoding="utf-8"?>
<formControlPr xmlns="http://schemas.microsoft.com/office/spreadsheetml/2009/9/main" objectType="CheckBox" fmlaLink="$F$54" lockText="1" noThreeD="1"/>
</file>

<file path=xl/ctrlProps/ctrlProp21.xml><?xml version="1.0" encoding="utf-8"?>
<formControlPr xmlns="http://schemas.microsoft.com/office/spreadsheetml/2009/9/main" objectType="CheckBox" fmlaLink="$F$60" lockText="1" noThreeD="1"/>
</file>

<file path=xl/ctrlProps/ctrlProp22.xml><?xml version="1.0" encoding="utf-8"?>
<formControlPr xmlns="http://schemas.microsoft.com/office/spreadsheetml/2009/9/main" objectType="CheckBox" fmlaLink="$F$61" lockText="1" noThreeD="1"/>
</file>

<file path=xl/ctrlProps/ctrlProp23.xml><?xml version="1.0" encoding="utf-8"?>
<formControlPr xmlns="http://schemas.microsoft.com/office/spreadsheetml/2009/9/main" objectType="CheckBox" fmlaLink="$F$62" lockText="1" noThreeD="1"/>
</file>

<file path=xl/ctrlProps/ctrlProp24.xml><?xml version="1.0" encoding="utf-8"?>
<formControlPr xmlns="http://schemas.microsoft.com/office/spreadsheetml/2009/9/main" objectType="CheckBox" fmlaLink="$F$34" lockText="1" noThreeD="1"/>
</file>

<file path=xl/ctrlProps/ctrlProp25.xml><?xml version="1.0" encoding="utf-8"?>
<formControlPr xmlns="http://schemas.microsoft.com/office/spreadsheetml/2009/9/main" objectType="CheckBox" fmlaLink="$F$48" lockText="1" noThreeD="1"/>
</file>

<file path=xl/ctrlProps/ctrlProp26.xml><?xml version="1.0" encoding="utf-8"?>
<formControlPr xmlns="http://schemas.microsoft.com/office/spreadsheetml/2009/9/main" objectType="CheckBox" fmlaLink="$F$47" lockText="1" noThreeD="1"/>
</file>

<file path=xl/ctrlProps/ctrlProp27.xml><?xml version="1.0" encoding="utf-8"?>
<formControlPr xmlns="http://schemas.microsoft.com/office/spreadsheetml/2009/9/main" objectType="CheckBox" fmlaLink="$F$50" lockText="1" noThreeD="1"/>
</file>

<file path=xl/ctrlProps/ctrlProp28.xml><?xml version="1.0" encoding="utf-8"?>
<formControlPr xmlns="http://schemas.microsoft.com/office/spreadsheetml/2009/9/main" objectType="CheckBox" fmlaLink="$F$49" lockText="1" noThreeD="1"/>
</file>

<file path=xl/ctrlProps/ctrlProp29.xml><?xml version="1.0" encoding="utf-8"?>
<formControlPr xmlns="http://schemas.microsoft.com/office/spreadsheetml/2009/9/main" objectType="CheckBox" fmlaLink="$F$51" lockText="1" noThreeD="1"/>
</file>

<file path=xl/ctrlProps/ctrlProp30.xml><?xml version="1.0" encoding="utf-8"?>
<formControlPr xmlns="http://schemas.microsoft.com/office/spreadsheetml/2009/9/main" objectType="CheckBox" fmlaLink="$F$57" lockText="1" noThreeD="1"/>
</file>

<file path=xl/ctrlProps/ctrlProp31.xml><?xml version="1.0" encoding="utf-8"?>
<formControlPr xmlns="http://schemas.microsoft.com/office/spreadsheetml/2009/9/main" objectType="CheckBox" fmlaLink="$F$59" lockText="1" noThreeD="1"/>
</file>

<file path=xl/ctrlProps/ctrlProp32.xml><?xml version="1.0" encoding="utf-8"?>
<formControlPr xmlns="http://schemas.microsoft.com/office/spreadsheetml/2009/9/main" objectType="CheckBox" fmlaLink="$F$63" lockText="1" noThreeD="1"/>
</file>

<file path=xl/ctrlProps/ctrlProp33.xml><?xml version="1.0" encoding="utf-8"?>
<formControlPr xmlns="http://schemas.microsoft.com/office/spreadsheetml/2009/9/main" objectType="CheckBox" fmlaLink="$F$40" lockText="1" noThreeD="1"/>
</file>

<file path=xl/ctrlProps/ctrlProp34.xml><?xml version="1.0" encoding="utf-8"?>
<formControlPr xmlns="http://schemas.microsoft.com/office/spreadsheetml/2009/9/main" objectType="CheckBox" fmlaLink="$G$54" lockText="1" noThreeD="1"/>
</file>

<file path=xl/ctrlProps/ctrlProp35.xml><?xml version="1.0" encoding="utf-8"?>
<formControlPr xmlns="http://schemas.microsoft.com/office/spreadsheetml/2009/9/main" objectType="CheckBox" fmlaLink="$G$53" lockText="1" noThreeD="1"/>
</file>

<file path=xl/ctrlProps/ctrlProp36.xml><?xml version="1.0" encoding="utf-8"?>
<formControlPr xmlns="http://schemas.microsoft.com/office/spreadsheetml/2009/9/main" objectType="CheckBox" fmlaLink="$G$55" lockText="1" noThreeD="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CheckBox" fmlaLink="$F$66" lockText="1" noThreeD="1"/>
</file>

<file path=xl/ctrlProps/ctrlProp39.xml><?xml version="1.0" encoding="utf-8"?>
<formControlPr xmlns="http://schemas.microsoft.com/office/spreadsheetml/2009/9/main" objectType="CheckBox" fmlaLink="$F$67" lockText="1" noThreeD="1"/>
</file>

<file path=xl/ctrlProps/ctrlProp40.xml><?xml version="1.0" encoding="utf-8"?>
<formControlPr xmlns="http://schemas.microsoft.com/office/spreadsheetml/2009/9/main" objectType="CheckBox" fmlaLink="$F$68" lockText="1" noThreeD="1"/>
</file>

<file path=xl/ctrlProps/ctrlProp41.xml><?xml version="1.0" encoding="utf-8"?>
<formControlPr xmlns="http://schemas.microsoft.com/office/spreadsheetml/2009/9/main" objectType="CheckBox" fmlaLink="$F$69" lockText="1" noThreeD="1"/>
</file>

<file path=xl/ctrlProps/ctrlProp42.xml><?xml version="1.0" encoding="utf-8"?>
<formControlPr xmlns="http://schemas.microsoft.com/office/spreadsheetml/2009/9/main" objectType="CheckBox" fmlaLink="$F$71" lockText="1" noThreeD="1"/>
</file>

<file path=xl/ctrlProps/ctrlProp43.xml><?xml version="1.0" encoding="utf-8"?>
<formControlPr xmlns="http://schemas.microsoft.com/office/spreadsheetml/2009/9/main" objectType="CheckBox" fmlaLink="$F$64" lockText="1" noThreeD="1"/>
</file>

<file path=xl/ctrlProps/ctrlProp44.xml><?xml version="1.0" encoding="utf-8"?>
<formControlPr xmlns="http://schemas.microsoft.com/office/spreadsheetml/2009/9/main" objectType="CheckBox" fmlaLink="$F$65" lockText="1" noThreeD="1"/>
</file>

<file path=xl/ctrlProps/ctrlProp45.xml><?xml version="1.0" encoding="utf-8"?>
<formControlPr xmlns="http://schemas.microsoft.com/office/spreadsheetml/2009/9/main" objectType="CheckBox" fmlaLink="$F$70" lockText="1" noThreeD="1"/>
</file>

<file path=xl/ctrlProps/ctrlProp46.xml><?xml version="1.0" encoding="utf-8"?>
<formControlPr xmlns="http://schemas.microsoft.com/office/spreadsheetml/2009/9/main" objectType="CheckBox" fmlaLink="$F$56" lockText="1" noThreeD="1"/>
</file>

<file path=xl/ctrlProps/ctrlProp47.xml><?xml version="1.0" encoding="utf-8"?>
<formControlPr xmlns="http://schemas.microsoft.com/office/spreadsheetml/2009/9/main" objectType="CheckBox" fmlaLink="$F$72" lockText="1" noThreeD="1"/>
</file>

<file path=xl/ctrlProps/ctrlProp48.xml><?xml version="1.0" encoding="utf-8"?>
<formControlPr xmlns="http://schemas.microsoft.com/office/spreadsheetml/2009/9/main" objectType="CheckBox" fmlaLink="$F$65" lockText="1" noThreeD="1"/>
</file>

<file path=xl/ctrlProps/ctrlProp49.xml><?xml version="1.0" encoding="utf-8"?>
<formControlPr xmlns="http://schemas.microsoft.com/office/spreadsheetml/2009/9/main" objectType="CheckBox" fmlaLink="$F$66" lockText="1" noThreeD="1"/>
</file>

<file path=xl/ctrlProps/ctrlProp50.xml><?xml version="1.0" encoding="utf-8"?>
<formControlPr xmlns="http://schemas.microsoft.com/office/spreadsheetml/2009/9/main" objectType="CheckBox" fmlaLink="$F$67" lockText="1" noThreeD="1"/>
</file>

<file path=xl/ctrlProps/ctrlProp51.xml><?xml version="1.0" encoding="utf-8"?>
<formControlPr xmlns="http://schemas.microsoft.com/office/spreadsheetml/2009/9/main" objectType="CheckBox" fmlaLink="$F$68" lockText="1" noThreeD="1"/>
</file>

<file path=xl/ctrlProps/ctrlProp52.xml><?xml version="1.0" encoding="utf-8"?>
<formControlPr xmlns="http://schemas.microsoft.com/office/spreadsheetml/2009/9/main" objectType="CheckBox" fmlaLink="$F$69" lockText="1" noThreeD="1"/>
</file>

<file path=xl/ctrlProps/ctrlProp53.xml><?xml version="1.0" encoding="utf-8"?>
<formControlPr xmlns="http://schemas.microsoft.com/office/spreadsheetml/2009/9/main" objectType="CheckBox" fmlaLink="$F$70" lockText="1" noThreeD="1"/>
</file>

<file path=xl/ctrlProps/ctrlProp54.xml><?xml version="1.0" encoding="utf-8"?>
<formControlPr xmlns="http://schemas.microsoft.com/office/spreadsheetml/2009/9/main" objectType="CheckBox" fmlaLink="$F$27" lockText="1" noThreeD="1"/>
</file>

<file path=xl/ctrlProps/ctrlProp55.xml><?xml version="1.0" encoding="utf-8"?>
<formControlPr xmlns="http://schemas.microsoft.com/office/spreadsheetml/2009/9/main" objectType="CheckBox" fmlaLink="$F$29" lockText="1" noThreeD="1"/>
</file>

<file path=xl/ctrlProps/ctrlProp56.xml><?xml version="1.0" encoding="utf-8"?>
<formControlPr xmlns="http://schemas.microsoft.com/office/spreadsheetml/2009/9/main" objectType="CheckBox" fmlaLink="$F$35" lockText="1" noThreeD="1"/>
</file>

<file path=xl/ctrlProps/ctrlProp57.xml><?xml version="1.0" encoding="utf-8"?>
<formControlPr xmlns="http://schemas.microsoft.com/office/spreadsheetml/2009/9/main" objectType="CheckBox" fmlaLink="$F$36" lockText="1" noThreeD="1"/>
</file>

<file path=xl/ctrlProps/ctrlProp58.xml><?xml version="1.0" encoding="utf-8"?>
<formControlPr xmlns="http://schemas.microsoft.com/office/spreadsheetml/2009/9/main" objectType="CheckBox" fmlaLink="$F$37" lockText="1" noThreeD="1"/>
</file>

<file path=xl/ctrlProps/ctrlProp59.xml><?xml version="1.0" encoding="utf-8"?>
<formControlPr xmlns="http://schemas.microsoft.com/office/spreadsheetml/2009/9/main" objectType="CheckBox" fmlaLink="$F$30" lockText="1" noThreeD="1"/>
</file>

<file path=xl/ctrlProps/ctrlProp60.xml><?xml version="1.0" encoding="utf-8"?>
<formControlPr xmlns="http://schemas.microsoft.com/office/spreadsheetml/2009/9/main" objectType="CheckBox" fmlaLink="$F$33" lockText="1" noThreeD="1"/>
</file>

<file path=xl/ctrlProps/ctrlProp61.xml><?xml version="1.0" encoding="utf-8"?>
<formControlPr xmlns="http://schemas.microsoft.com/office/spreadsheetml/2009/9/main" objectType="CheckBox" fmlaLink="$F$32" lockText="1" noThreeD="1"/>
</file>

<file path=xl/ctrlProps/ctrlProp62.xml><?xml version="1.0" encoding="utf-8"?>
<formControlPr xmlns="http://schemas.microsoft.com/office/spreadsheetml/2009/9/main" objectType="CheckBox" fmlaLink="$F$31" lockText="1" noThreeD="1"/>
</file>

<file path=xl/ctrlProps/ctrlProp63.xml><?xml version="1.0" encoding="utf-8"?>
<formControlPr xmlns="http://schemas.microsoft.com/office/spreadsheetml/2009/9/main" objectType="CheckBox" fmlaLink="$F$38" lockText="1" noThreeD="1"/>
</file>

<file path=xl/ctrlProps/ctrlProp64.xml><?xml version="1.0" encoding="utf-8"?>
<formControlPr xmlns="http://schemas.microsoft.com/office/spreadsheetml/2009/9/main" objectType="CheckBox" fmlaLink="$F$39" lockText="1" noThreeD="1"/>
</file>

<file path=xl/ctrlProps/ctrlProp65.xml><?xml version="1.0" encoding="utf-8"?>
<formControlPr xmlns="http://schemas.microsoft.com/office/spreadsheetml/2009/9/main" objectType="CheckBox" fmlaLink="$F$40" lockText="1" noThreeD="1"/>
</file>

<file path=xl/ctrlProps/ctrlProp66.xml><?xml version="1.0" encoding="utf-8"?>
<formControlPr xmlns="http://schemas.microsoft.com/office/spreadsheetml/2009/9/main" objectType="CheckBox" fmlaLink="$F$46" lockText="1" noThreeD="1"/>
</file>

<file path=xl/ctrlProps/ctrlProp67.xml><?xml version="1.0" encoding="utf-8"?>
<formControlPr xmlns="http://schemas.microsoft.com/office/spreadsheetml/2009/9/main" objectType="CheckBox" fmlaLink="$F$48" lockText="1" noThreeD="1"/>
</file>

<file path=xl/ctrlProps/ctrlProp68.xml><?xml version="1.0" encoding="utf-8"?>
<formControlPr xmlns="http://schemas.microsoft.com/office/spreadsheetml/2009/9/main" objectType="CheckBox" fmlaLink="$F$53" lockText="1" noThreeD="1"/>
</file>

<file path=xl/ctrlProps/ctrlProp69.xml><?xml version="1.0" encoding="utf-8"?>
<formControlPr xmlns="http://schemas.microsoft.com/office/spreadsheetml/2009/9/main" objectType="CheckBox" fmlaLink="$F$54" lockText="1" noThreeD="1"/>
</file>

<file path=xl/ctrlProps/ctrlProp70.xml><?xml version="1.0" encoding="utf-8"?>
<formControlPr xmlns="http://schemas.microsoft.com/office/spreadsheetml/2009/9/main" objectType="CheckBox" fmlaLink="$F$55" lockText="1" noThreeD="1"/>
</file>

<file path=xl/ctrlProps/ctrlProp71.xml><?xml version="1.0" encoding="utf-8"?>
<formControlPr xmlns="http://schemas.microsoft.com/office/spreadsheetml/2009/9/main" objectType="CheckBox" fmlaLink="$F$28" lockText="1" noThreeD="1"/>
</file>

<file path=xl/ctrlProps/ctrlProp72.xml><?xml version="1.0" encoding="utf-8"?>
<formControlPr xmlns="http://schemas.microsoft.com/office/spreadsheetml/2009/9/main" objectType="CheckBox" fmlaLink="$F$42" lockText="1" noThreeD="1"/>
</file>

<file path=xl/ctrlProps/ctrlProp73.xml><?xml version="1.0" encoding="utf-8"?>
<formControlPr xmlns="http://schemas.microsoft.com/office/spreadsheetml/2009/9/main" objectType="CheckBox" fmlaLink="$F$41" lockText="1" noThreeD="1"/>
</file>

<file path=xl/ctrlProps/ctrlProp74.xml><?xml version="1.0" encoding="utf-8"?>
<formControlPr xmlns="http://schemas.microsoft.com/office/spreadsheetml/2009/9/main" objectType="CheckBox" fmlaLink="$F$44" lockText="1" noThreeD="1"/>
</file>

<file path=xl/ctrlProps/ctrlProp75.xml><?xml version="1.0" encoding="utf-8"?>
<formControlPr xmlns="http://schemas.microsoft.com/office/spreadsheetml/2009/9/main" objectType="CheckBox" fmlaLink="$F$43" lockText="1" noThreeD="1"/>
</file>

<file path=xl/ctrlProps/ctrlProp76.xml><?xml version="1.0" encoding="utf-8"?>
<formControlPr xmlns="http://schemas.microsoft.com/office/spreadsheetml/2009/9/main" objectType="CheckBox" fmlaLink="$F$45" lockText="1" noThreeD="1"/>
</file>

<file path=xl/ctrlProps/ctrlProp77.xml><?xml version="1.0" encoding="utf-8"?>
<formControlPr xmlns="http://schemas.microsoft.com/office/spreadsheetml/2009/9/main" objectType="CheckBox" fmlaLink="$F$50" lockText="1" noThreeD="1"/>
</file>

<file path=xl/ctrlProps/ctrlProp78.xml><?xml version="1.0" encoding="utf-8"?>
<formControlPr xmlns="http://schemas.microsoft.com/office/spreadsheetml/2009/9/main" objectType="CheckBox" fmlaLink="$F$51" lockText="1" noThreeD="1"/>
</file>

<file path=xl/ctrlProps/ctrlProp79.xml><?xml version="1.0" encoding="utf-8"?>
<formControlPr xmlns="http://schemas.microsoft.com/office/spreadsheetml/2009/9/main" objectType="CheckBox" fmlaLink="$F$52" lockText="1" noThreeD="1"/>
</file>

<file path=xl/ctrlProps/ctrlProp80.xml><?xml version="1.0" encoding="utf-8"?>
<formControlPr xmlns="http://schemas.microsoft.com/office/spreadsheetml/2009/9/main" objectType="CheckBox" fmlaLink="$F$56" lockText="1" noThreeD="1"/>
</file>

<file path=xl/ctrlProps/ctrlProp81.xml><?xml version="1.0" encoding="utf-8"?>
<formControlPr xmlns="http://schemas.microsoft.com/office/spreadsheetml/2009/9/main" objectType="CheckBox" fmlaLink="$F$34" lockText="1" noThreeD="1"/>
</file>

<file path=xl/ctrlProps/ctrlProp82.xml><?xml version="1.0" encoding="utf-8"?>
<formControlPr xmlns="http://schemas.microsoft.com/office/spreadsheetml/2009/9/main" objectType="CheckBox" fmlaLink="$G$48" lockText="1" noThreeD="1"/>
</file>

<file path=xl/ctrlProps/ctrlProp83.xml><?xml version="1.0" encoding="utf-8"?>
<formControlPr xmlns="http://schemas.microsoft.com/office/spreadsheetml/2009/9/main" objectType="CheckBox" fmlaLink="$G$47" lockText="1" noThreeD="1"/>
</file>

<file path=xl/ctrlProps/ctrlProp84.xml><?xml version="1.0" encoding="utf-8"?>
<formControlPr xmlns="http://schemas.microsoft.com/office/spreadsheetml/2009/9/main" objectType="CheckBox" fmlaLink="$G$49" lockText="1" noThreeD="1"/>
</file>

<file path=xl/ctrlProps/ctrlProp85.xml><?xml version="1.0" encoding="utf-8"?>
<formControlPr xmlns="http://schemas.microsoft.com/office/spreadsheetml/2009/9/main" objectType="CheckBox" fmlaLink="$F$59" lockText="1" noThreeD="1"/>
</file>

<file path=xl/ctrlProps/ctrlProp86.xml><?xml version="1.0" encoding="utf-8"?>
<formControlPr xmlns="http://schemas.microsoft.com/office/spreadsheetml/2009/9/main" objectType="CheckBox" fmlaLink="$F$60" lockText="1" noThreeD="1"/>
</file>

<file path=xl/ctrlProps/ctrlProp87.xml><?xml version="1.0" encoding="utf-8"?>
<formControlPr xmlns="http://schemas.microsoft.com/office/spreadsheetml/2009/9/main" objectType="CheckBox" fmlaLink="$F$61" lockText="1" noThreeD="1"/>
</file>

<file path=xl/ctrlProps/ctrlProp88.xml><?xml version="1.0" encoding="utf-8"?>
<formControlPr xmlns="http://schemas.microsoft.com/office/spreadsheetml/2009/9/main" objectType="CheckBox" fmlaLink="$F$62" lockText="1" noThreeD="1"/>
</file>

<file path=xl/ctrlProps/ctrlProp89.xml><?xml version="1.0" encoding="utf-8"?>
<formControlPr xmlns="http://schemas.microsoft.com/office/spreadsheetml/2009/9/main" objectType="CheckBox" fmlaLink="$F$64" lockText="1" noThreeD="1"/>
</file>

<file path=xl/ctrlProps/ctrlProp90.xml><?xml version="1.0" encoding="utf-8"?>
<formControlPr xmlns="http://schemas.microsoft.com/office/spreadsheetml/2009/9/main" objectType="CheckBox" fmlaLink="$F$57" lockText="1" noThreeD="1"/>
</file>

<file path=xl/ctrlProps/ctrlProp91.xml><?xml version="1.0" encoding="utf-8"?>
<formControlPr xmlns="http://schemas.microsoft.com/office/spreadsheetml/2009/9/main" objectType="CheckBox" fmlaLink="$F$58" lockText="1" noThreeD="1"/>
</file>

<file path=xl/ctrlProps/ctrlProp92.xml><?xml version="1.0" encoding="utf-8"?>
<formControlPr xmlns="http://schemas.microsoft.com/office/spreadsheetml/2009/9/main" objectType="CheckBox" fmlaLink="$F$63" lockText="1" noThreeD="1"/>
</file>

<file path=xl/ctrlProps/ctrlProp93.xml><?xml version="1.0" encoding="utf-8"?>
<formControlPr xmlns="http://schemas.microsoft.com/office/spreadsheetml/2009/9/main" objectType="CheckBox" fmlaLink="$F$71" lockText="1" noThreeD="1"/>
</file>

<file path=xl/ctrlProps/ctrlProp9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4.png"/><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6</xdr:col>
      <xdr:colOff>415291</xdr:colOff>
      <xdr:row>9</xdr:row>
      <xdr:rowOff>94541</xdr:rowOff>
    </xdr:from>
    <xdr:to>
      <xdr:col>16</xdr:col>
      <xdr:colOff>209551</xdr:colOff>
      <xdr:row>14</xdr:row>
      <xdr:rowOff>115678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454766" y="323141"/>
          <a:ext cx="5878830" cy="23642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15240</xdr:colOff>
          <xdr:row>26</xdr:row>
          <xdr:rowOff>15240</xdr:rowOff>
        </xdr:from>
        <xdr:to>
          <xdr:col>5</xdr:col>
          <xdr:colOff>2758440</xdr:colOff>
          <xdr:row>27</xdr:row>
          <xdr:rowOff>60960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Transferred to workgroup without documentation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27</xdr:row>
          <xdr:rowOff>22860</xdr:rowOff>
        </xdr:from>
        <xdr:to>
          <xdr:col>5</xdr:col>
          <xdr:colOff>2766060</xdr:colOff>
          <xdr:row>27</xdr:row>
          <xdr:rowOff>327660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asks for confirmation of resolution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28</xdr:row>
          <xdr:rowOff>15240</xdr:rowOff>
        </xdr:from>
        <xdr:to>
          <xdr:col>5</xdr:col>
          <xdr:colOff>2758440</xdr:colOff>
          <xdr:row>29</xdr:row>
          <xdr:rowOff>60960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set proper expectations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29</xdr:row>
          <xdr:rowOff>15240</xdr:rowOff>
        </xdr:from>
        <xdr:to>
          <xdr:col>5</xdr:col>
          <xdr:colOff>2758440</xdr:colOff>
          <xdr:row>30</xdr:row>
          <xdr:rowOff>60960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maintain transparency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30</xdr:row>
          <xdr:rowOff>15240</xdr:rowOff>
        </xdr:from>
        <xdr:to>
          <xdr:col>5</xdr:col>
          <xdr:colOff>2758440</xdr:colOff>
          <xdr:row>31</xdr:row>
          <xdr:rowOff>60960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educate the end user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31</xdr:row>
          <xdr:rowOff>15240</xdr:rowOff>
        </xdr:from>
        <xdr:to>
          <xdr:col>5</xdr:col>
          <xdr:colOff>2758440</xdr:colOff>
          <xdr:row>32</xdr:row>
          <xdr:rowOff>60960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check if end user needs additional assistance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32</xdr:row>
          <xdr:rowOff>0</xdr:rowOff>
        </xdr:from>
        <xdr:to>
          <xdr:col>5</xdr:col>
          <xdr:colOff>2766060</xdr:colOff>
          <xdr:row>33</xdr:row>
          <xdr:rowOff>60960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probe to isolate the issue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34</xdr:row>
          <xdr:rowOff>0</xdr:rowOff>
        </xdr:from>
        <xdr:to>
          <xdr:col>5</xdr:col>
          <xdr:colOff>2766060</xdr:colOff>
          <xdr:row>35</xdr:row>
          <xdr:rowOff>60960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review previous troubleshooting/documentation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40</xdr:row>
          <xdr:rowOff>0</xdr:rowOff>
        </xdr:from>
        <xdr:to>
          <xdr:col>5</xdr:col>
          <xdr:colOff>2758440</xdr:colOff>
          <xdr:row>41</xdr:row>
          <xdr:rowOff>60960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Incorrect KI 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41</xdr:row>
          <xdr:rowOff>0</xdr:rowOff>
        </xdr:from>
        <xdr:to>
          <xdr:col>5</xdr:col>
          <xdr:colOff>2758440</xdr:colOff>
          <xdr:row>42</xdr:row>
          <xdr:rowOff>60960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1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Incorrectly used Unable to Find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42</xdr:row>
          <xdr:rowOff>0</xdr:rowOff>
        </xdr:from>
        <xdr:to>
          <xdr:col>5</xdr:col>
          <xdr:colOff>2758440</xdr:colOff>
          <xdr:row>43</xdr:row>
          <xdr:rowOff>60960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No KI ID indicated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35</xdr:row>
          <xdr:rowOff>0</xdr:rowOff>
        </xdr:from>
        <xdr:to>
          <xdr:col>5</xdr:col>
          <xdr:colOff>2766060</xdr:colOff>
          <xdr:row>36</xdr:row>
          <xdr:rowOff>60960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Incorrect solution/work around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36</xdr:row>
          <xdr:rowOff>0</xdr:rowOff>
        </xdr:from>
        <xdr:to>
          <xdr:col>5</xdr:col>
          <xdr:colOff>2766060</xdr:colOff>
          <xdr:row>37</xdr:row>
          <xdr:rowOff>60960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Incomplete Troubleshooting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37</xdr:row>
          <xdr:rowOff>0</xdr:rowOff>
        </xdr:from>
        <xdr:to>
          <xdr:col>5</xdr:col>
          <xdr:colOff>2766060</xdr:colOff>
          <xdr:row>38</xdr:row>
          <xdr:rowOff>60960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1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Transferred to incorrect workgroup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37</xdr:row>
          <xdr:rowOff>259080</xdr:rowOff>
        </xdr:from>
        <xdr:to>
          <xdr:col>5</xdr:col>
          <xdr:colOff>2766060</xdr:colOff>
          <xdr:row>39</xdr:row>
          <xdr:rowOff>30480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No troubleshooting provided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43</xdr:row>
          <xdr:rowOff>22860</xdr:rowOff>
        </xdr:from>
        <xdr:to>
          <xdr:col>5</xdr:col>
          <xdr:colOff>2743200</xdr:colOff>
          <xdr:row>44</xdr:row>
          <xdr:rowOff>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Incomplete/Incorrect Triage Tab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44</xdr:row>
          <xdr:rowOff>0</xdr:rowOff>
        </xdr:from>
        <xdr:to>
          <xdr:col>5</xdr:col>
          <xdr:colOff>2804160</xdr:colOff>
          <xdr:row>45</xdr:row>
          <xdr:rowOff>60960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1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document the details of the email/message/schedule that has been sent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45</xdr:row>
          <xdr:rowOff>99060</xdr:rowOff>
        </xdr:from>
        <xdr:to>
          <xdr:col>5</xdr:col>
          <xdr:colOff>2743200</xdr:colOff>
          <xdr:row>46</xdr:row>
          <xdr:rowOff>129540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1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provide the reason why a machine replacement is needed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51</xdr:row>
          <xdr:rowOff>38100</xdr:rowOff>
        </xdr:from>
        <xdr:to>
          <xdr:col>5</xdr:col>
          <xdr:colOff>2766060</xdr:colOff>
          <xdr:row>52</xdr:row>
          <xdr:rowOff>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1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No machine name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52</xdr:row>
          <xdr:rowOff>373380</xdr:rowOff>
        </xdr:from>
        <xdr:to>
          <xdr:col>5</xdr:col>
          <xdr:colOff>2491740</xdr:colOff>
          <xdr:row>54</xdr:row>
          <xdr:rowOff>15240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1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correctly fill up top part of Service Now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59</xdr:row>
          <xdr:rowOff>30480</xdr:rowOff>
        </xdr:from>
        <xdr:to>
          <xdr:col>5</xdr:col>
          <xdr:colOff>2773680</xdr:colOff>
          <xdr:row>60</xdr:row>
          <xdr:rowOff>22860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1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follow call back process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60</xdr:row>
          <xdr:rowOff>30480</xdr:rowOff>
        </xdr:from>
        <xdr:to>
          <xdr:col>5</xdr:col>
          <xdr:colOff>2766060</xdr:colOff>
          <xdr:row>61</xdr:row>
          <xdr:rowOff>22860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adhere to Supervisor Escalation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61</xdr:row>
          <xdr:rowOff>30480</xdr:rowOff>
        </xdr:from>
        <xdr:to>
          <xdr:col>5</xdr:col>
          <xdr:colOff>2766060</xdr:colOff>
          <xdr:row>62</xdr:row>
          <xdr:rowOff>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1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adhere to Protection of Privacy Information</a:t>
              </a:r>
            </a:p>
          </xdr:txBody>
        </xdr:sp>
        <xdr:clientData/>
      </xdr:twoCellAnchor>
    </mc:Choice>
    <mc:Fallback/>
  </mc:AlternateContent>
  <xdr:twoCellAnchor editAs="absolute">
    <xdr:from>
      <xdr:col>8</xdr:col>
      <xdr:colOff>402273</xdr:colOff>
      <xdr:row>4</xdr:row>
      <xdr:rowOff>54928</xdr:rowOff>
    </xdr:from>
    <xdr:to>
      <xdr:col>9</xdr:col>
      <xdr:colOff>437626</xdr:colOff>
      <xdr:row>6</xdr:row>
      <xdr:rowOff>171677</xdr:rowOff>
    </xdr:to>
    <xdr:pic>
      <xdr:nvPicPr>
        <xdr:cNvPr id="31" name="Picture 30" descr="Optum_HDI_VSm">
          <a:extLst>
            <a:ext uri="{FF2B5EF4-FFF2-40B4-BE49-F238E27FC236}">
              <a16:creationId xmlns:a16="http://schemas.microsoft.com/office/drawing/2014/main" id="{00000000-0008-0000-0100-00001F00000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0782" t="-9999" b="-1"/>
        <a:stretch/>
      </xdr:blipFill>
      <xdr:spPr bwMode="auto">
        <a:xfrm>
          <a:off x="11423651" y="58738"/>
          <a:ext cx="1147555" cy="517752"/>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5</xdr:col>
          <xdr:colOff>22860</xdr:colOff>
          <xdr:row>33</xdr:row>
          <xdr:rowOff>0</xdr:rowOff>
        </xdr:from>
        <xdr:to>
          <xdr:col>5</xdr:col>
          <xdr:colOff>2766060</xdr:colOff>
          <xdr:row>34</xdr:row>
          <xdr:rowOff>60960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100-00001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use the correct tools for verification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xdr:row>
          <xdr:rowOff>76200</xdr:rowOff>
        </xdr:from>
        <xdr:to>
          <xdr:col>5</xdr:col>
          <xdr:colOff>2743200</xdr:colOff>
          <xdr:row>48</xdr:row>
          <xdr:rowOff>53340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1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Incorrect call record Creation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46</xdr:row>
          <xdr:rowOff>114300</xdr:rowOff>
        </xdr:from>
        <xdr:to>
          <xdr:col>5</xdr:col>
          <xdr:colOff>2743200</xdr:colOff>
          <xdr:row>47</xdr:row>
          <xdr:rowOff>91440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1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follow call record creation for Ticket Status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49</xdr:row>
          <xdr:rowOff>15240</xdr:rowOff>
        </xdr:from>
        <xdr:to>
          <xdr:col>5</xdr:col>
          <xdr:colOff>2735580</xdr:colOff>
          <xdr:row>49</xdr:row>
          <xdr:rowOff>289560</xdr:rowOff>
        </xdr:to>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01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Incomplete/Incorrect Notes Tab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48</xdr:row>
          <xdr:rowOff>53340</xdr:rowOff>
        </xdr:from>
        <xdr:to>
          <xdr:col>5</xdr:col>
          <xdr:colOff>2735580</xdr:colOff>
          <xdr:row>49</xdr:row>
          <xdr:rowOff>22860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1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Incorrect/incomplete Closure and Reference Tabs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49</xdr:row>
          <xdr:rowOff>289560</xdr:rowOff>
        </xdr:from>
        <xdr:to>
          <xdr:col>5</xdr:col>
          <xdr:colOff>2735580</xdr:colOff>
          <xdr:row>50</xdr:row>
          <xdr:rowOff>251460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1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include supporting documents/screenshots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56</xdr:row>
          <xdr:rowOff>114300</xdr:rowOff>
        </xdr:from>
        <xdr:to>
          <xdr:col>5</xdr:col>
          <xdr:colOff>2766060</xdr:colOff>
          <xdr:row>56</xdr:row>
          <xdr:rowOff>441960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1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follow closing procedure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57</xdr:row>
          <xdr:rowOff>167640</xdr:rowOff>
        </xdr:from>
        <xdr:to>
          <xdr:col>5</xdr:col>
          <xdr:colOff>2773680</xdr:colOff>
          <xdr:row>58</xdr:row>
          <xdr:rowOff>190500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1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inform customer that the session will be terminated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62</xdr:row>
          <xdr:rowOff>68580</xdr:rowOff>
        </xdr:from>
        <xdr:to>
          <xdr:col>5</xdr:col>
          <xdr:colOff>2804160</xdr:colOff>
          <xdr:row>62</xdr:row>
          <xdr:rowOff>373380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1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adhere to the policy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38</xdr:row>
          <xdr:rowOff>243840</xdr:rowOff>
        </xdr:from>
        <xdr:to>
          <xdr:col>5</xdr:col>
          <xdr:colOff>2766060</xdr:colOff>
          <xdr:row>40</xdr:row>
          <xdr:rowOff>15240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1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Added unnecessary Troubleshooting Step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53</xdr:row>
          <xdr:rowOff>38100</xdr:rowOff>
        </xdr:from>
        <xdr:to>
          <xdr:col>8</xdr:col>
          <xdr:colOff>952500</xdr:colOff>
          <xdr:row>53</xdr:row>
          <xdr:rowOff>342900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1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Description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3124200</xdr:colOff>
          <xdr:row>52</xdr:row>
          <xdr:rowOff>22860</xdr:rowOff>
        </xdr:from>
        <xdr:to>
          <xdr:col>8</xdr:col>
          <xdr:colOff>982980</xdr:colOff>
          <xdr:row>52</xdr:row>
          <xdr:rowOff>365760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1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Short Description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3124200</xdr:colOff>
          <xdr:row>54</xdr:row>
          <xdr:rowOff>38100</xdr:rowOff>
        </xdr:from>
        <xdr:to>
          <xdr:col>8</xdr:col>
          <xdr:colOff>967740</xdr:colOff>
          <xdr:row>54</xdr:row>
          <xdr:rowOff>327660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1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Alternate Contact Phone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220980</xdr:colOff>
          <xdr:row>7</xdr:row>
          <xdr:rowOff>175260</xdr:rowOff>
        </xdr:from>
        <xdr:to>
          <xdr:col>12</xdr:col>
          <xdr:colOff>510540</xdr:colOff>
          <xdr:row>9</xdr:row>
          <xdr:rowOff>129540</xdr:rowOff>
        </xdr:to>
        <xdr:sp macro="" textlink="">
          <xdr:nvSpPr>
            <xdr:cNvPr id="6199" name="Button 55" hidden="1">
              <a:extLst>
                <a:ext uri="{63B3BB69-23CF-44E3-9099-C40C66FF867C}">
                  <a14:compatExt spid="_x0000_s6199"/>
                </a:ext>
                <a:ext uri="{FF2B5EF4-FFF2-40B4-BE49-F238E27FC236}">
                  <a16:creationId xmlns:a16="http://schemas.microsoft.com/office/drawing/2014/main" id="{00000000-0008-0000-0100-00003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a:ea typeface="Calibri"/>
                  <a:cs typeface="Calibri"/>
                </a:rPr>
                <a:t>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65</xdr:row>
          <xdr:rowOff>0</xdr:rowOff>
        </xdr:from>
        <xdr:to>
          <xdr:col>5</xdr:col>
          <xdr:colOff>876300</xdr:colOff>
          <xdr:row>65</xdr:row>
          <xdr:rowOff>205740</xdr:rowOff>
        </xdr:to>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1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Monotoned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66</xdr:row>
          <xdr:rowOff>0</xdr:rowOff>
        </xdr:from>
        <xdr:to>
          <xdr:col>5</xdr:col>
          <xdr:colOff>1851660</xdr:colOff>
          <xdr:row>66</xdr:row>
          <xdr:rowOff>205740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1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Did not show empathy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xdr:row>
          <xdr:rowOff>0</xdr:rowOff>
        </xdr:from>
        <xdr:to>
          <xdr:col>5</xdr:col>
          <xdr:colOff>1485900</xdr:colOff>
          <xdr:row>67</xdr:row>
          <xdr:rowOff>205740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1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Did not show compasion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68</xdr:row>
          <xdr:rowOff>38100</xdr:rowOff>
        </xdr:from>
        <xdr:to>
          <xdr:col>5</xdr:col>
          <xdr:colOff>1584960</xdr:colOff>
          <xdr:row>68</xdr:row>
          <xdr:rowOff>259080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1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Did not Set expectations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70</xdr:row>
          <xdr:rowOff>0</xdr:rowOff>
        </xdr:from>
        <xdr:to>
          <xdr:col>5</xdr:col>
          <xdr:colOff>1859280</xdr:colOff>
          <xdr:row>70</xdr:row>
          <xdr:rowOff>205740</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1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Long holds and deadair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63</xdr:row>
          <xdr:rowOff>15240</xdr:rowOff>
        </xdr:from>
        <xdr:to>
          <xdr:col>5</xdr:col>
          <xdr:colOff>2468880</xdr:colOff>
          <xdr:row>63</xdr:row>
          <xdr:rowOff>266700</xdr:rowOff>
        </xdr:to>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1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Did not maintain Professionalism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63</xdr:row>
          <xdr:rowOff>281940</xdr:rowOff>
        </xdr:from>
        <xdr:to>
          <xdr:col>5</xdr:col>
          <xdr:colOff>2659380</xdr:colOff>
          <xdr:row>64</xdr:row>
          <xdr:rowOff>182880</xdr:rowOff>
        </xdr:to>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1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Engaged in sensitive topics (Religion, Politics, Gender)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69</xdr:row>
          <xdr:rowOff>22860</xdr:rowOff>
        </xdr:from>
        <xdr:to>
          <xdr:col>5</xdr:col>
          <xdr:colOff>1447800</xdr:colOff>
          <xdr:row>69</xdr:row>
          <xdr:rowOff>220980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1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Interrupts ,caller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55</xdr:row>
          <xdr:rowOff>68580</xdr:rowOff>
        </xdr:from>
        <xdr:to>
          <xdr:col>5</xdr:col>
          <xdr:colOff>2819400</xdr:colOff>
          <xdr:row>55</xdr:row>
          <xdr:rowOff>434340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1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follow opening  procedures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71</xdr:row>
          <xdr:rowOff>91440</xdr:rowOff>
        </xdr:from>
        <xdr:to>
          <xdr:col>5</xdr:col>
          <xdr:colOff>1844040</xdr:colOff>
          <xdr:row>71</xdr:row>
          <xdr:rowOff>289560</xdr:rowOff>
        </xdr:to>
        <xdr:sp macro="" textlink="">
          <xdr:nvSpPr>
            <xdr:cNvPr id="6235" name="Check Box 91" hidden="1">
              <a:extLst>
                <a:ext uri="{63B3BB69-23CF-44E3-9099-C40C66FF867C}">
                  <a14:compatExt spid="_x0000_s6235"/>
                </a:ext>
                <a:ext uri="{FF2B5EF4-FFF2-40B4-BE49-F238E27FC236}">
                  <a16:creationId xmlns:a16="http://schemas.microsoft.com/office/drawing/2014/main" id="{00000000-0008-0000-0100-00005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 to follow ZEOP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15240</xdr:colOff>
          <xdr:row>64</xdr:row>
          <xdr:rowOff>15240</xdr:rowOff>
        </xdr:from>
        <xdr:to>
          <xdr:col>5</xdr:col>
          <xdr:colOff>2758440</xdr:colOff>
          <xdr:row>65</xdr:row>
          <xdr:rowOff>60960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Transferred to workgroup without documentation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65</xdr:row>
          <xdr:rowOff>22860</xdr:rowOff>
        </xdr:from>
        <xdr:to>
          <xdr:col>5</xdr:col>
          <xdr:colOff>2766060</xdr:colOff>
          <xdr:row>66</xdr:row>
          <xdr:rowOff>60960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asks for confirmation of resolution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66</xdr:row>
          <xdr:rowOff>15240</xdr:rowOff>
        </xdr:from>
        <xdr:to>
          <xdr:col>5</xdr:col>
          <xdr:colOff>2758440</xdr:colOff>
          <xdr:row>67</xdr:row>
          <xdr:rowOff>60960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set proper expectations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67</xdr:row>
          <xdr:rowOff>15240</xdr:rowOff>
        </xdr:from>
        <xdr:to>
          <xdr:col>5</xdr:col>
          <xdr:colOff>2758440</xdr:colOff>
          <xdr:row>68</xdr:row>
          <xdr:rowOff>60960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3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maintain transparency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68</xdr:row>
          <xdr:rowOff>15240</xdr:rowOff>
        </xdr:from>
        <xdr:to>
          <xdr:col>5</xdr:col>
          <xdr:colOff>2758440</xdr:colOff>
          <xdr:row>69</xdr:row>
          <xdr:rowOff>60960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educate the end user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69</xdr:row>
          <xdr:rowOff>15240</xdr:rowOff>
        </xdr:from>
        <xdr:to>
          <xdr:col>5</xdr:col>
          <xdr:colOff>2758440</xdr:colOff>
          <xdr:row>70</xdr:row>
          <xdr:rowOff>60960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check if end user needs additional assistance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26</xdr:row>
          <xdr:rowOff>0</xdr:rowOff>
        </xdr:from>
        <xdr:to>
          <xdr:col>5</xdr:col>
          <xdr:colOff>2766060</xdr:colOff>
          <xdr:row>27</xdr:row>
          <xdr:rowOff>60960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probe to isolate the issue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28</xdr:row>
          <xdr:rowOff>0</xdr:rowOff>
        </xdr:from>
        <xdr:to>
          <xdr:col>5</xdr:col>
          <xdr:colOff>2766060</xdr:colOff>
          <xdr:row>28</xdr:row>
          <xdr:rowOff>335280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3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review necessary resources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34</xdr:row>
          <xdr:rowOff>0</xdr:rowOff>
        </xdr:from>
        <xdr:to>
          <xdr:col>5</xdr:col>
          <xdr:colOff>2758440</xdr:colOff>
          <xdr:row>35</xdr:row>
          <xdr:rowOff>60960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3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Incorrect KI 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35</xdr:row>
          <xdr:rowOff>0</xdr:rowOff>
        </xdr:from>
        <xdr:to>
          <xdr:col>5</xdr:col>
          <xdr:colOff>2758440</xdr:colOff>
          <xdr:row>36</xdr:row>
          <xdr:rowOff>60960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Incorrectly used Unable to Find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36</xdr:row>
          <xdr:rowOff>0</xdr:rowOff>
        </xdr:from>
        <xdr:to>
          <xdr:col>5</xdr:col>
          <xdr:colOff>2758440</xdr:colOff>
          <xdr:row>37</xdr:row>
          <xdr:rowOff>60960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3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No KI ID indicated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29</xdr:row>
          <xdr:rowOff>0</xdr:rowOff>
        </xdr:from>
        <xdr:to>
          <xdr:col>5</xdr:col>
          <xdr:colOff>2766060</xdr:colOff>
          <xdr:row>30</xdr:row>
          <xdr:rowOff>60960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3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Incorrect solution/work around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31</xdr:row>
          <xdr:rowOff>251460</xdr:rowOff>
        </xdr:from>
        <xdr:to>
          <xdr:col>5</xdr:col>
          <xdr:colOff>2766060</xdr:colOff>
          <xdr:row>33</xdr:row>
          <xdr:rowOff>30480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3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Incomplete Troubleshooting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31</xdr:row>
          <xdr:rowOff>0</xdr:rowOff>
        </xdr:from>
        <xdr:to>
          <xdr:col>5</xdr:col>
          <xdr:colOff>2766060</xdr:colOff>
          <xdr:row>32</xdr:row>
          <xdr:rowOff>60960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Transferred to incorrect workgroup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30</xdr:row>
          <xdr:rowOff>0</xdr:rowOff>
        </xdr:from>
        <xdr:to>
          <xdr:col>5</xdr:col>
          <xdr:colOff>2766060</xdr:colOff>
          <xdr:row>31</xdr:row>
          <xdr:rowOff>60960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3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No troubleshooting provided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22860</xdr:rowOff>
        </xdr:from>
        <xdr:to>
          <xdr:col>5</xdr:col>
          <xdr:colOff>2743200</xdr:colOff>
          <xdr:row>37</xdr:row>
          <xdr:rowOff>297180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3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Incomplete/Incorrect Triage Tab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0</xdr:rowOff>
        </xdr:from>
        <xdr:to>
          <xdr:col>5</xdr:col>
          <xdr:colOff>2804160</xdr:colOff>
          <xdr:row>39</xdr:row>
          <xdr:rowOff>91440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3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document the details of the email/message/schedule that has been sent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39</xdr:row>
          <xdr:rowOff>213360</xdr:rowOff>
        </xdr:from>
        <xdr:to>
          <xdr:col>5</xdr:col>
          <xdr:colOff>2727960</xdr:colOff>
          <xdr:row>40</xdr:row>
          <xdr:rowOff>76200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3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ea typeface="Calibri"/>
                  <a:cs typeface="Calibri"/>
                </a:rPr>
                <a:t>Failed to update SR or existing INC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45</xdr:row>
          <xdr:rowOff>76200</xdr:rowOff>
        </xdr:from>
        <xdr:to>
          <xdr:col>5</xdr:col>
          <xdr:colOff>2766060</xdr:colOff>
          <xdr:row>45</xdr:row>
          <xdr:rowOff>411480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3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No machine name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46</xdr:row>
          <xdr:rowOff>251460</xdr:rowOff>
        </xdr:from>
        <xdr:to>
          <xdr:col>5</xdr:col>
          <xdr:colOff>2796540</xdr:colOff>
          <xdr:row>47</xdr:row>
          <xdr:rowOff>228600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3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correctly fill up top part of Service Now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52</xdr:row>
          <xdr:rowOff>53340</xdr:rowOff>
        </xdr:from>
        <xdr:to>
          <xdr:col>5</xdr:col>
          <xdr:colOff>2766060</xdr:colOff>
          <xdr:row>53</xdr:row>
          <xdr:rowOff>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3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follow call back process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53</xdr:row>
          <xdr:rowOff>22860</xdr:rowOff>
        </xdr:from>
        <xdr:to>
          <xdr:col>5</xdr:col>
          <xdr:colOff>2766060</xdr:colOff>
          <xdr:row>53</xdr:row>
          <xdr:rowOff>365760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3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adhere to Supervisor Escalation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54</xdr:row>
          <xdr:rowOff>30480</xdr:rowOff>
        </xdr:from>
        <xdr:to>
          <xdr:col>5</xdr:col>
          <xdr:colOff>2758440</xdr:colOff>
          <xdr:row>54</xdr:row>
          <xdr:rowOff>365760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3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adhere to Protection of Privacy Information</a:t>
              </a:r>
            </a:p>
          </xdr:txBody>
        </xdr:sp>
        <xdr:clientData/>
      </xdr:twoCellAnchor>
    </mc:Choice>
    <mc:Fallback/>
  </mc:AlternateContent>
  <xdr:twoCellAnchor editAs="absolute">
    <xdr:from>
      <xdr:col>8</xdr:col>
      <xdr:colOff>478156</xdr:colOff>
      <xdr:row>4</xdr:row>
      <xdr:rowOff>95885</xdr:rowOff>
    </xdr:from>
    <xdr:to>
      <xdr:col>9</xdr:col>
      <xdr:colOff>549704</xdr:colOff>
      <xdr:row>7</xdr:row>
      <xdr:rowOff>1602</xdr:rowOff>
    </xdr:to>
    <xdr:pic>
      <xdr:nvPicPr>
        <xdr:cNvPr id="60" name="Picture 59" descr="Optum_HDI_VSm">
          <a:extLst>
            <a:ext uri="{FF2B5EF4-FFF2-40B4-BE49-F238E27FC236}">
              <a16:creationId xmlns:a16="http://schemas.microsoft.com/office/drawing/2014/main" id="{00000000-0008-0000-0300-00003C00000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0782" t="-9999" b="-1"/>
        <a:stretch/>
      </xdr:blipFill>
      <xdr:spPr bwMode="auto">
        <a:xfrm>
          <a:off x="11567977" y="95885"/>
          <a:ext cx="1171459" cy="484021"/>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5</xdr:col>
          <xdr:colOff>22860</xdr:colOff>
          <xdr:row>27</xdr:row>
          <xdr:rowOff>0</xdr:rowOff>
        </xdr:from>
        <xdr:to>
          <xdr:col>5</xdr:col>
          <xdr:colOff>2766060</xdr:colOff>
          <xdr:row>28</xdr:row>
          <xdr:rowOff>60960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use the correct tools for verification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41</xdr:row>
          <xdr:rowOff>76200</xdr:rowOff>
        </xdr:from>
        <xdr:to>
          <xdr:col>5</xdr:col>
          <xdr:colOff>2743200</xdr:colOff>
          <xdr:row>42</xdr:row>
          <xdr:rowOff>60960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3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Incorrect call record Creation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114300</xdr:rowOff>
        </xdr:from>
        <xdr:to>
          <xdr:col>5</xdr:col>
          <xdr:colOff>2743200</xdr:colOff>
          <xdr:row>41</xdr:row>
          <xdr:rowOff>91440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follow call record creation for Ticket Status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1005840</xdr:colOff>
          <xdr:row>43</xdr:row>
          <xdr:rowOff>15240</xdr:rowOff>
        </xdr:from>
        <xdr:to>
          <xdr:col>5</xdr:col>
          <xdr:colOff>2735580</xdr:colOff>
          <xdr:row>43</xdr:row>
          <xdr:rowOff>289560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Incomplete/Incorrect Notes Tab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1005840</xdr:colOff>
          <xdr:row>42</xdr:row>
          <xdr:rowOff>53340</xdr:rowOff>
        </xdr:from>
        <xdr:to>
          <xdr:col>5</xdr:col>
          <xdr:colOff>2735580</xdr:colOff>
          <xdr:row>43</xdr:row>
          <xdr:rowOff>22860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Incorrect/incomplete Closure and Reference Tabs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1005840</xdr:colOff>
          <xdr:row>43</xdr:row>
          <xdr:rowOff>289560</xdr:rowOff>
        </xdr:from>
        <xdr:to>
          <xdr:col>5</xdr:col>
          <xdr:colOff>2735580</xdr:colOff>
          <xdr:row>44</xdr:row>
          <xdr:rowOff>251460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3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include supporting documents/screenshots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49</xdr:row>
          <xdr:rowOff>22860</xdr:rowOff>
        </xdr:from>
        <xdr:to>
          <xdr:col>5</xdr:col>
          <xdr:colOff>2758440</xdr:colOff>
          <xdr:row>50</xdr:row>
          <xdr:rowOff>15240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follow opening  procedures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50</xdr:row>
          <xdr:rowOff>0</xdr:rowOff>
        </xdr:from>
        <xdr:to>
          <xdr:col>5</xdr:col>
          <xdr:colOff>2758440</xdr:colOff>
          <xdr:row>50</xdr:row>
          <xdr:rowOff>335280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3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follow closing procedures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50</xdr:row>
          <xdr:rowOff>373380</xdr:rowOff>
        </xdr:from>
        <xdr:to>
          <xdr:col>5</xdr:col>
          <xdr:colOff>2758440</xdr:colOff>
          <xdr:row>51</xdr:row>
          <xdr:rowOff>335280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inform customer that the session will be terminated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55</xdr:row>
          <xdr:rowOff>30480</xdr:rowOff>
        </xdr:from>
        <xdr:to>
          <xdr:col>5</xdr:col>
          <xdr:colOff>2758440</xdr:colOff>
          <xdr:row>55</xdr:row>
          <xdr:rowOff>342900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adhere to the policy</a:t>
              </a:r>
            </a:p>
          </xdr:txBody>
        </xdr:sp>
        <xdr:clientData/>
      </xdr:twoCellAnchor>
    </mc:Choice>
    <mc:Fallback/>
  </mc:AlternateContent>
  <xdr:twoCellAnchor editAs="oneCell">
    <xdr:from>
      <xdr:col>7</xdr:col>
      <xdr:colOff>228600</xdr:colOff>
      <xdr:row>72</xdr:row>
      <xdr:rowOff>31750</xdr:rowOff>
    </xdr:from>
    <xdr:to>
      <xdr:col>8</xdr:col>
      <xdr:colOff>501650</xdr:colOff>
      <xdr:row>74</xdr:row>
      <xdr:rowOff>133350</xdr:rowOff>
    </xdr:to>
    <xdr:sp macro="" textlink="">
      <xdr:nvSpPr>
        <xdr:cNvPr id="1107" name="CommandButton1" hidden="1">
          <a:extLst>
            <a:ext uri="{63B3BB69-23CF-44E3-9099-C40C66FF867C}">
              <a14:compatExt xmlns:a14="http://schemas.microsoft.com/office/drawing/2010/main" spid="_x0000_s1107"/>
            </a:ext>
            <a:ext uri="{FF2B5EF4-FFF2-40B4-BE49-F238E27FC236}">
              <a16:creationId xmlns:a16="http://schemas.microsoft.com/office/drawing/2014/main" id="{00000000-0008-0000-0300-000053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5</xdr:col>
          <xdr:colOff>22860</xdr:colOff>
          <xdr:row>32</xdr:row>
          <xdr:rowOff>213360</xdr:rowOff>
        </xdr:from>
        <xdr:to>
          <xdr:col>5</xdr:col>
          <xdr:colOff>2766060</xdr:colOff>
          <xdr:row>33</xdr:row>
          <xdr:rowOff>259080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3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Added unnecessary Troubleshooting Step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46</xdr:row>
          <xdr:rowOff>304800</xdr:rowOff>
        </xdr:from>
        <xdr:to>
          <xdr:col>8</xdr:col>
          <xdr:colOff>975360</xdr:colOff>
          <xdr:row>48</xdr:row>
          <xdr:rowOff>22860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3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Description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30480</xdr:colOff>
          <xdr:row>45</xdr:row>
          <xdr:rowOff>487680</xdr:rowOff>
        </xdr:from>
        <xdr:to>
          <xdr:col>8</xdr:col>
          <xdr:colOff>952500</xdr:colOff>
          <xdr:row>46</xdr:row>
          <xdr:rowOff>320040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3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Short Description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xdr:colOff>
          <xdr:row>47</xdr:row>
          <xdr:rowOff>266700</xdr:rowOff>
        </xdr:from>
        <xdr:to>
          <xdr:col>8</xdr:col>
          <xdr:colOff>975360</xdr:colOff>
          <xdr:row>49</xdr:row>
          <xdr:rowOff>22860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3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Alternate Contact Phone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58</xdr:row>
          <xdr:rowOff>0</xdr:rowOff>
        </xdr:from>
        <xdr:to>
          <xdr:col>5</xdr:col>
          <xdr:colOff>876300</xdr:colOff>
          <xdr:row>58</xdr:row>
          <xdr:rowOff>213360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3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Monotoned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59</xdr:row>
          <xdr:rowOff>0</xdr:rowOff>
        </xdr:from>
        <xdr:to>
          <xdr:col>5</xdr:col>
          <xdr:colOff>1851660</xdr:colOff>
          <xdr:row>59</xdr:row>
          <xdr:rowOff>213360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3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Did not show empathy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60</xdr:row>
          <xdr:rowOff>0</xdr:rowOff>
        </xdr:from>
        <xdr:to>
          <xdr:col>5</xdr:col>
          <xdr:colOff>1485900</xdr:colOff>
          <xdr:row>60</xdr:row>
          <xdr:rowOff>213360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3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Did not show compasion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61</xdr:row>
          <xdr:rowOff>0</xdr:rowOff>
        </xdr:from>
        <xdr:to>
          <xdr:col>5</xdr:col>
          <xdr:colOff>1584960</xdr:colOff>
          <xdr:row>61</xdr:row>
          <xdr:rowOff>213360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3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Did not Set expectations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63</xdr:row>
          <xdr:rowOff>15240</xdr:rowOff>
        </xdr:from>
        <xdr:to>
          <xdr:col>5</xdr:col>
          <xdr:colOff>1828800</xdr:colOff>
          <xdr:row>63</xdr:row>
          <xdr:rowOff>220980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3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Long holds and deadair</a:t>
              </a:r>
            </a:p>
          </xdr:txBody>
        </xdr:sp>
        <xdr:clientData/>
      </xdr:twoCellAnchor>
    </mc:Choice>
    <mc:Fallback/>
  </mc:AlternateContent>
  <xdr:twoCellAnchor editAs="oneCell">
    <xdr:from>
      <xdr:col>7</xdr:col>
      <xdr:colOff>256821</xdr:colOff>
      <xdr:row>5</xdr:row>
      <xdr:rowOff>77832</xdr:rowOff>
    </xdr:from>
    <xdr:to>
      <xdr:col>8</xdr:col>
      <xdr:colOff>396249</xdr:colOff>
      <xdr:row>6</xdr:row>
      <xdr:rowOff>132340</xdr:rowOff>
    </xdr:to>
    <xdr:pic>
      <xdr:nvPicPr>
        <xdr:cNvPr id="50" name="Picture 49" descr="Workday Supports Healthcare Transformation at John Muir Health">
          <a:extLst>
            <a:ext uri="{FF2B5EF4-FFF2-40B4-BE49-F238E27FC236}">
              <a16:creationId xmlns:a16="http://schemas.microsoft.com/office/drawing/2014/main" id="{00000000-0008-0000-0300-000032000000}"/>
            </a:ext>
          </a:extLst>
        </xdr:cNvPr>
        <xdr:cNvPicPr>
          <a:picLocks noChangeAspect="1" noChangeArrowheads="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1000" l="4706" r="96000">
                      <a14:foregroundMark x1="20471" y1="55000" x2="16706" y2="69000"/>
                      <a14:foregroundMark x1="7529" y1="25000" x2="8706" y2="35000"/>
                      <a14:foregroundMark x1="7529" y1="72000" x2="5176" y2="81000"/>
                      <a14:foregroundMark x1="20941" y1="91000" x2="20941" y2="91000"/>
                      <a14:foregroundMark x1="31059" y1="21000" x2="31059" y2="21000"/>
                      <a14:foregroundMark x1="37176" y1="16000" x2="37176" y2="16000"/>
                      <a14:foregroundMark x1="45412" y1="21000" x2="45412" y2="21000"/>
                      <a14:foregroundMark x1="54824" y1="22000" x2="54824" y2="22000"/>
                      <a14:foregroundMark x1="32706" y1="76000" x2="32706" y2="76000"/>
                      <a14:foregroundMark x1="37647" y1="75000" x2="37647" y2="75000"/>
                      <a14:foregroundMark x1="45176" y1="74000" x2="45176" y2="74000"/>
                      <a14:foregroundMark x1="51294" y1="74000" x2="51294" y2="74000"/>
                      <a14:foregroundMark x1="58588" y1="69000" x2="58588" y2="69000"/>
                      <a14:foregroundMark x1="63529" y1="77000" x2="63529" y2="77000"/>
                      <a14:foregroundMark x1="67294" y1="24000" x2="67294" y2="24000"/>
                      <a14:foregroundMark x1="79294" y1="22000" x2="79294" y2="22000"/>
                      <a14:foregroundMark x1="88000" y1="26000" x2="88000" y2="26000"/>
                      <a14:foregroundMark x1="94353" y1="30000" x2="94353" y2="30000"/>
                      <a14:foregroundMark x1="96000" y1="38000" x2="96000" y2="38000"/>
                      <a14:backgroundMark x1="14353" y1="60000" x2="17412" y2="52000"/>
                      <a14:backgroundMark x1="45412" y1="79000" x2="45412" y2="79000"/>
                    </a14:backgroundRemoval>
                  </a14:imgEffect>
                </a14:imgLayer>
              </a14:imgProps>
            </a:ext>
            <a:ext uri="{28A0092B-C50C-407E-A947-70E740481C1C}">
              <a14:useLocalDpi xmlns:a14="http://schemas.microsoft.com/office/drawing/2010/main" val="0"/>
            </a:ext>
          </a:extLst>
        </a:blip>
        <a:srcRect/>
        <a:stretch>
          <a:fillRect/>
        </a:stretch>
      </xdr:blipFill>
      <xdr:spPr bwMode="auto">
        <a:xfrm>
          <a:off x="10017145" y="245920"/>
          <a:ext cx="1226398" cy="282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22860</xdr:colOff>
          <xdr:row>56</xdr:row>
          <xdr:rowOff>15240</xdr:rowOff>
        </xdr:from>
        <xdr:to>
          <xdr:col>5</xdr:col>
          <xdr:colOff>2461260</xdr:colOff>
          <xdr:row>56</xdr:row>
          <xdr:rowOff>259080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3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Did not maintain Professionalism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57</xdr:row>
          <xdr:rowOff>0</xdr:rowOff>
        </xdr:from>
        <xdr:to>
          <xdr:col>5</xdr:col>
          <xdr:colOff>2659380</xdr:colOff>
          <xdr:row>57</xdr:row>
          <xdr:rowOff>205740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3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Engaged in sensitive topics (Religion, Politics, Gender)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1013460</xdr:colOff>
          <xdr:row>62</xdr:row>
          <xdr:rowOff>22860</xdr:rowOff>
        </xdr:from>
        <xdr:to>
          <xdr:col>5</xdr:col>
          <xdr:colOff>1402080</xdr:colOff>
          <xdr:row>62</xdr:row>
          <xdr:rowOff>228600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Interrupts ,caller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70</xdr:row>
          <xdr:rowOff>106680</xdr:rowOff>
        </xdr:from>
        <xdr:to>
          <xdr:col>5</xdr:col>
          <xdr:colOff>2743200</xdr:colOff>
          <xdr:row>70</xdr:row>
          <xdr:rowOff>434340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800" b="0" i="0" u="none" strike="noStrike" baseline="0">
                  <a:solidFill>
                    <a:srgbClr val="000000"/>
                  </a:solidFill>
                  <a:latin typeface="Segoe UI"/>
                  <a:cs typeface="Segoe UI"/>
                </a:rPr>
                <a:t>Failed to follow ZEOP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91440</xdr:colOff>
          <xdr:row>73</xdr:row>
          <xdr:rowOff>137160</xdr:rowOff>
        </xdr:from>
        <xdr:to>
          <xdr:col>10</xdr:col>
          <xdr:colOff>30480</xdr:colOff>
          <xdr:row>95</xdr:row>
          <xdr:rowOff>15240</xdr:rowOff>
        </xdr:to>
        <xdr:sp macro="" textlink="">
          <xdr:nvSpPr>
            <xdr:cNvPr id="1147" name="CommandButton1" hidden="1">
              <a:extLst>
                <a:ext uri="{63B3BB69-23CF-44E3-9099-C40C66FF867C}">
                  <a14:compatExt spid="_x0000_s1147"/>
                </a:ext>
                <a:ext uri="{FF2B5EF4-FFF2-40B4-BE49-F238E27FC236}">
                  <a16:creationId xmlns:a16="http://schemas.microsoft.com/office/drawing/2014/main" id="{00000000-0008-0000-0300-00007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1097280</xdr:colOff>
          <xdr:row>0</xdr:row>
          <xdr:rowOff>205740</xdr:rowOff>
        </xdr:from>
        <xdr:to>
          <xdr:col>2</xdr:col>
          <xdr:colOff>243840</xdr:colOff>
          <xdr:row>0</xdr:row>
          <xdr:rowOff>548640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a:ea typeface="Calibri"/>
                  <a:cs typeface="Calibri"/>
                </a:rPr>
                <a:t>Filter Analyst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7" displayName="Table7" ref="A4:CV40" totalsRowShown="0" headerRowDxfId="118" dataDxfId="116" headerRowBorderDxfId="117" tableBorderDxfId="115" dataCellStyle="Percent">
  <autoFilter ref="A4:CV40" xr:uid="{00000000-0009-0000-0100-000006000000}"/>
  <tableColumns count="100">
    <tableColumn id="1" xr3:uid="{00000000-0010-0000-0000-000001000000}" name="Incident Number" dataDxfId="114"/>
    <tableColumn id="2" xr3:uid="{00000000-0010-0000-0000-000002000000}" name="Call Duration" dataDxfId="113"/>
    <tableColumn id="3" xr3:uid="{00000000-0010-0000-0000-000003000000}" name="Site" dataDxfId="112"/>
    <tableColumn id="4" xr3:uid="{00000000-0010-0000-0000-000004000000}" name="L1 Analyst" dataDxfId="111"/>
    <tableColumn id="5" xr3:uid="{00000000-0010-0000-0000-000005000000}" name="Manager Name" dataDxfId="110"/>
    <tableColumn id="6" xr3:uid="{00000000-0010-0000-0000-000006000000}" name="Feedback Rating" dataDxfId="109"/>
    <tableColumn id="7" xr3:uid="{00000000-0010-0000-0000-000007000000}" name="NPS Score (if available)" dataDxfId="108"/>
    <tableColumn id="8" xr3:uid="{00000000-0010-0000-0000-000008000000}" name="Sentiment" dataDxfId="107"/>
    <tableColumn id="9" xr3:uid="{00000000-0010-0000-0000-000009000000}" name="Verbatim" dataDxfId="106"/>
    <tableColumn id="10" xr3:uid="{00000000-0010-0000-0000-00000A000000}" name="Auditor" dataDxfId="105"/>
    <tableColumn id="11" xr3:uid="{00000000-0010-0000-0000-00000B000000}" name="Monitor Date" dataDxfId="104"/>
    <tableColumn id="12" xr3:uid="{00000000-0010-0000-0000-00000C000000}" name="Kind of Audit" dataDxfId="103"/>
    <tableColumn id="13" xr3:uid="{00000000-0010-0000-0000-00000D000000}" name="Incident Type" dataDxfId="102"/>
    <tableColumn id="14" xr3:uid="{00000000-0010-0000-0000-00000E000000}" name="Workgroup" dataDxfId="101"/>
    <tableColumn id="15" xr3:uid="{00000000-0010-0000-0000-00000F000000}" name="Product" dataDxfId="100"/>
    <tableColumn id="16" xr3:uid="{00000000-0010-0000-0000-000010000000}" name="Segment ID" dataDxfId="99"/>
    <tableColumn id="17" xr3:uid="{00000000-0010-0000-0000-000011000000}" name="Contact Type" dataDxfId="98"/>
    <tableColumn id="18" xr3:uid="{00000000-0010-0000-0000-000012000000}" name="Call Type" dataDxfId="97"/>
    <tableColumn id="19" xr3:uid="{00000000-0010-0000-0000-000013000000}" name="Total Case Ownership" dataDxfId="96"/>
    <tableColumn id="20" xr3:uid="{00000000-0010-0000-0000-000014000000}" name="Transparency with the End User / End User Education" dataDxfId="95"/>
    <tableColumn id="21" xr3:uid="{00000000-0010-0000-0000-000015000000}" name="Correct Issue Diagnosis" dataDxfId="94"/>
    <tableColumn id="22" xr3:uid="{00000000-0010-0000-0000-000016000000}" name="Accurate &amp; Appropriate Resolution Provided " dataDxfId="93"/>
    <tableColumn id="23" xr3:uid="{00000000-0010-0000-0000-000017000000}" name="Knowledge Article Correct Usage" dataDxfId="92"/>
    <tableColumn id="24" xr3:uid="{00000000-0010-0000-0000-000018000000}" name="Ticket History Completeness and Accuracy" dataDxfId="91"/>
    <tableColumn id="25" xr3:uid="{00000000-0010-0000-0000-000019000000}" name="Other Ticket Hygiene Essentials" dataDxfId="90"/>
    <tableColumn id="26" xr3:uid="{00000000-0010-0000-0000-00001A000000}" name="Opening &amp; Closing Procedure" dataDxfId="89"/>
    <tableColumn id="27" xr3:uid="{00000000-0010-0000-0000-00001B000000}" name="Bomgar" dataDxfId="88"/>
    <tableColumn id="28" xr3:uid="{00000000-0010-0000-0000-00001C000000}" name="Call Back Process" dataDxfId="87"/>
    <tableColumn id="29" xr3:uid="{00000000-0010-0000-0000-00001D000000}" name="Supervisor Escalation" dataDxfId="86"/>
    <tableColumn id="30" xr3:uid="{00000000-0010-0000-0000-00001E000000}" name="Protection of Privacy Information" dataDxfId="85"/>
    <tableColumn id="31" xr3:uid="{00000000-0010-0000-0000-00001F000000}" name="All Other Policies" dataDxfId="84"/>
    <tableColumn id="32" xr3:uid="{00000000-0010-0000-0000-000020000000}" name="ZOEP" dataDxfId="83"/>
    <tableColumn id="36" xr3:uid="{00000000-0010-0000-0000-000024000000}" name="Transferred to workgroup without troubleshooting" dataDxfId="82"/>
    <tableColumn id="37" xr3:uid="{00000000-0010-0000-0000-000025000000}" name="Failed to asks for confirmation of resolution" dataDxfId="81"/>
    <tableColumn id="39" xr3:uid="{00000000-0010-0000-0000-000027000000}" name="Failed to set proper expectations" dataDxfId="80"/>
    <tableColumn id="40" xr3:uid="{00000000-0010-0000-0000-000028000000}" name="Failed to maintain transparency" dataDxfId="79"/>
    <tableColumn id="41" xr3:uid="{00000000-0010-0000-0000-000029000000}" name="Failed to educate the end user" dataDxfId="78"/>
    <tableColumn id="42" xr3:uid="{00000000-0010-0000-0000-00002A000000}" name="Failed to check if end user needs additional assistance" dataDxfId="77"/>
    <tableColumn id="43" xr3:uid="{00000000-0010-0000-0000-00002B000000}" name="Failed to probe to isolate the issue" dataDxfId="76"/>
    <tableColumn id="44" xr3:uid="{00000000-0010-0000-0000-00002C000000}" name="Failed to use the correct tools for verification" dataDxfId="75"/>
    <tableColumn id="45" xr3:uid="{00000000-0010-0000-0000-00002D000000}" name="Failed to review previous troubleshooting/documentation" dataDxfId="74"/>
    <tableColumn id="46" xr3:uid="{00000000-0010-0000-0000-00002E000000}" name="Incorrect solution/work around" dataDxfId="73"/>
    <tableColumn id="47" xr3:uid="{00000000-0010-0000-0000-00002F000000}" name="No troubleshooting provided" dataDxfId="72"/>
    <tableColumn id="48" xr3:uid="{00000000-0010-0000-0000-000030000000}" name="Transferred to incorrect workgroup" dataDxfId="71"/>
    <tableColumn id="33" xr3:uid="{00000000-0010-0000-0000-000021000000}" name="Incomplete Troubleshooting" dataDxfId="70"/>
    <tableColumn id="49" xr3:uid="{00000000-0010-0000-0000-000031000000}" name="Added unecessary Troubleshooting Step" dataDxfId="69"/>
    <tableColumn id="50" xr3:uid="{00000000-0010-0000-0000-000032000000}" name="Incorrect KI ID" dataDxfId="68"/>
    <tableColumn id="51" xr3:uid="{00000000-0010-0000-0000-000033000000}" name="Incorrectly used Unable to Find" dataDxfId="67"/>
    <tableColumn id="52" xr3:uid="{00000000-0010-0000-0000-000034000000}" name="No KI ID indicated" dataDxfId="66"/>
    <tableColumn id="54" xr3:uid="{00000000-0010-0000-0000-000036000000}" name="Incomplete/Incorrect Triage Tab" dataDxfId="65"/>
    <tableColumn id="56" xr3:uid="{00000000-0010-0000-0000-000038000000}" name="Failed to document the details of the email/message/schedule that has been sent" dataDxfId="64"/>
    <tableColumn id="57" xr3:uid="{00000000-0010-0000-0000-000039000000}" name="Failed to provide the reason why a machine replacement is needed" dataDxfId="63"/>
    <tableColumn id="58" xr3:uid="{00000000-0010-0000-0000-00003A000000}" name="Failed to follow call record creation for Ticket Status" dataDxfId="62"/>
    <tableColumn id="59" xr3:uid="{00000000-0010-0000-0000-00003B000000}" name="Incorrect call record Creation" dataDxfId="61"/>
    <tableColumn id="60" xr3:uid="{00000000-0010-0000-0000-00003C000000}" name="Incorrect/incomplete Closure and Reference Tabs" dataDxfId="60"/>
    <tableColumn id="61" xr3:uid="{00000000-0010-0000-0000-00003D000000}" name="Incomplete/Incorrect Notes Tab" dataDxfId="59"/>
    <tableColumn id="62" xr3:uid="{00000000-0010-0000-0000-00003E000000}" name="Failed to include supporting documents/screenshots" dataDxfId="58"/>
    <tableColumn id="63" xr3:uid="{00000000-0010-0000-0000-00003F000000}" name="No machine name" dataDxfId="57"/>
    <tableColumn id="64" xr3:uid="{00000000-0010-0000-0000-000040000000}" name="Failed to correctly fill up top part of Service Now" dataDxfId="56"/>
    <tableColumn id="65" xr3:uid="{00000000-0010-0000-0000-000041000000}" name="Failed to follow opening and closing procedure" dataDxfId="55"/>
    <tableColumn id="66" xr3:uid="{00000000-0010-0000-0000-000042000000}" name="Failed to Disclose the NDA" dataDxfId="54"/>
    <tableColumn id="68" xr3:uid="{00000000-0010-0000-0000-000044000000}" name="Failed to inform customer that the session will be terminated" dataDxfId="53"/>
    <tableColumn id="69" xr3:uid="{00000000-0010-0000-0000-000045000000}" name="Failed to follow call back process" dataDxfId="52"/>
    <tableColumn id="70" xr3:uid="{00000000-0010-0000-0000-000046000000}" name="Failed to adhere to Supervisor Escalation" dataDxfId="51"/>
    <tableColumn id="71" xr3:uid="{00000000-0010-0000-0000-000047000000}" name="Failed to adhere to Protection of Privacy Information" dataDxfId="50"/>
    <tableColumn id="72" xr3:uid="{00000000-0010-0000-0000-000048000000}" name="Failed to adhere to the policy" dataDxfId="49"/>
    <tableColumn id="73" xr3:uid="{00000000-0010-0000-0000-000049000000}" name="ZOEP2" dataDxfId="48"/>
    <tableColumn id="74" xr3:uid="{00000000-0010-0000-0000-00004A000000}" name="Total Case Ownership3" dataDxfId="47"/>
    <tableColumn id="75" xr3:uid="{00000000-0010-0000-0000-00004B000000}" name="Transparency with the End User / End User Education4" dataDxfId="46"/>
    <tableColumn id="76" xr3:uid="{00000000-0010-0000-0000-00004C000000}" name="Correct Issue Diagnosis5" dataDxfId="45"/>
    <tableColumn id="77" xr3:uid="{00000000-0010-0000-0000-00004D000000}" name="Accurate &amp; Appropriate Resolution Provided 6" dataDxfId="44"/>
    <tableColumn id="78" xr3:uid="{00000000-0010-0000-0000-00004E000000}" name="Knowledge Article Correct Usage7" dataDxfId="43"/>
    <tableColumn id="79" xr3:uid="{00000000-0010-0000-0000-00004F000000}" name="Ticket History Completeness and Accuracy8" dataDxfId="42"/>
    <tableColumn id="38" xr3:uid="{00000000-0010-0000-0000-000026000000}" name="No Machine Name2" dataDxfId="41"/>
    <tableColumn id="35" xr3:uid="{00000000-0010-0000-0000-000023000000}" name="Short Description" dataDxfId="40"/>
    <tableColumn id="34" xr3:uid="{00000000-0010-0000-0000-000022000000}" name="Description" dataDxfId="39"/>
    <tableColumn id="80" xr3:uid="{00000000-0010-0000-0000-000050000000}" name="Alternate Contact Phone" dataDxfId="38"/>
    <tableColumn id="81" xr3:uid="{00000000-0010-0000-0000-000051000000}" name="Opening &amp; Closing Procedure10" dataDxfId="37"/>
    <tableColumn id="82" xr3:uid="{00000000-0010-0000-0000-000052000000}" name="Bomgar11" dataDxfId="36"/>
    <tableColumn id="83" xr3:uid="{00000000-0010-0000-0000-000053000000}" name="Call Back Process12" dataDxfId="35"/>
    <tableColumn id="84" xr3:uid="{00000000-0010-0000-0000-000054000000}" name="Supervisor Escalation13" dataDxfId="34"/>
    <tableColumn id="85" xr3:uid="{00000000-0010-0000-0000-000055000000}" name="Protection of Privacy Information14" dataDxfId="33"/>
    <tableColumn id="86" xr3:uid="{00000000-0010-0000-0000-000056000000}" name="All Other Policies15" dataDxfId="32"/>
    <tableColumn id="87" xr3:uid="{00000000-0010-0000-0000-000057000000}" name="ZOEP16" dataDxfId="31"/>
    <tableColumn id="88" xr3:uid="{00000000-0010-0000-0000-000058000000}" name="Total Case Ownership17" dataDxfId="30" dataCellStyle="Percent"/>
    <tableColumn id="89" xr3:uid="{00000000-0010-0000-0000-000059000000}" name="Transparency with the End User / End User Education18" dataDxfId="29" dataCellStyle="Percent"/>
    <tableColumn id="90" xr3:uid="{00000000-0010-0000-0000-00005A000000}" name="Correct Issue Diagnosis19" dataDxfId="28" dataCellStyle="Percent"/>
    <tableColumn id="91" xr3:uid="{00000000-0010-0000-0000-00005B000000}" name="Accurate &amp; Appropriate Resolution Provided" dataDxfId="27" dataCellStyle="Percent"/>
    <tableColumn id="92" xr3:uid="{00000000-0010-0000-0000-00005C000000}" name="Knowledge Article Correct Usage20" dataDxfId="26" dataCellStyle="Percent"/>
    <tableColumn id="93" xr3:uid="{00000000-0010-0000-0000-00005D000000}" name="Ticket History Completeness and Accuracy ( Work Notes)" dataDxfId="25" dataCellStyle="Percent"/>
    <tableColumn id="94" xr3:uid="{00000000-0010-0000-0000-00005E000000}" name="Other Ticket Hygiene Essentials21" dataDxfId="24" dataCellStyle="Percent"/>
    <tableColumn id="95" xr3:uid="{00000000-0010-0000-0000-00005F000000}" name="Opening &amp; Closing Procedure22" dataDxfId="23" dataCellStyle="Percent"/>
    <tableColumn id="96" xr3:uid="{00000000-0010-0000-0000-000060000000}" name="Process Adherence" dataDxfId="22" dataCellStyle="Percent"/>
    <tableColumn id="97" xr3:uid="{00000000-0010-0000-0000-000061000000}" name="ZOEP23" dataDxfId="21" dataCellStyle="Percent"/>
    <tableColumn id="98" xr3:uid="{00000000-0010-0000-0000-000062000000}" name="Essential Skills" dataDxfId="20" dataCellStyle="Percent"/>
    <tableColumn id="99" xr3:uid="{00000000-0010-0000-0000-000063000000}" name="Technical Competency" dataDxfId="19" dataCellStyle="Percent"/>
    <tableColumn id="100" xr3:uid="{00000000-0010-0000-0000-000064000000}" name="Ticket Hygiene" dataDxfId="18" dataCellStyle="Percent"/>
    <tableColumn id="101" xr3:uid="{00000000-0010-0000-0000-000065000000}" name="Process Adherance" dataDxfId="17" dataCellStyle="Percent"/>
    <tableColumn id="102" xr3:uid="{00000000-0010-0000-0000-000066000000}" name="ZOEP24" dataDxfId="16" dataCellStyle="Percent"/>
    <tableColumn id="103" xr3:uid="{00000000-0010-0000-0000-000067000000}" name="Quality Score" dataDxfId="15" dataCellStyle="Perc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6" displayName="Table6" ref="A1:L390" totalsRowShown="0" headerRowDxfId="13" dataDxfId="12">
  <tableColumns count="12">
    <tableColumn id="1" xr3:uid="{00000000-0010-0000-0100-000001000000}" name="MSID" dataDxfId="11"/>
    <tableColumn id="2" xr3:uid="{00000000-0010-0000-0100-000002000000}" name="EMP ID w/ 0's" dataDxfId="10"/>
    <tableColumn id="3" xr3:uid="{00000000-0010-0000-0100-000003000000}" name="Name" dataDxfId="9"/>
    <tableColumn id="4" xr3:uid="{00000000-0010-0000-0100-000004000000}" name="Classification" dataDxfId="8"/>
    <tableColumn id="5" xr3:uid="{00000000-0010-0000-0100-000005000000}" name="Back Up" dataDxfId="7"/>
    <tableColumn id="6" xr3:uid="{00000000-0010-0000-0100-000006000000}" name="ITSD Classification" dataDxfId="6"/>
    <tableColumn id="7" xr3:uid="{00000000-0010-0000-0100-000007000000}" name="Supervisor" dataDxfId="5"/>
    <tableColumn id="8" xr3:uid="{00000000-0010-0000-0100-000008000000}" name="Hiredate" dataDxfId="4"/>
    <tableColumn id="9" xr3:uid="{00000000-0010-0000-0100-000009000000}" name="Site" dataDxfId="3"/>
    <tableColumn id="10" xr3:uid="{00000000-0010-0000-0100-00000A000000}" name="Tenure in Days" dataDxfId="2"/>
    <tableColumn id="11" xr3:uid="{00000000-0010-0000-0100-00000B000000}" name="Audit Req per Month" dataDxfId="1"/>
    <tableColumn id="12" xr3:uid="{00000000-0010-0000-0100-00000C000000}" name="Assigned QA"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47" Type="http://schemas.openxmlformats.org/officeDocument/2006/relationships/ctrlProp" Target="../ctrlProps/ctrlProp89.xml"/><Relationship Id="rId50" Type="http://schemas.openxmlformats.org/officeDocument/2006/relationships/ctrlProp" Target="../ctrlProps/ctrlProp92.xml"/><Relationship Id="rId7" Type="http://schemas.openxmlformats.org/officeDocument/2006/relationships/ctrlProp" Target="../ctrlProps/ctrlProp49.xml"/><Relationship Id="rId2" Type="http://schemas.openxmlformats.org/officeDocument/2006/relationships/drawing" Target="../drawings/drawing3.xml"/><Relationship Id="rId16" Type="http://schemas.openxmlformats.org/officeDocument/2006/relationships/ctrlProp" Target="../ctrlProps/ctrlProp58.xml"/><Relationship Id="rId29" Type="http://schemas.openxmlformats.org/officeDocument/2006/relationships/ctrlProp" Target="../ctrlProps/ctrlProp71.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image" Target="../media/image3.emf"/><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49" Type="http://schemas.openxmlformats.org/officeDocument/2006/relationships/ctrlProp" Target="../ctrlProps/ctrlProp91.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control" Target="../activeX/activeX1.x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48" Type="http://schemas.openxmlformats.org/officeDocument/2006/relationships/ctrlProp" Target="../ctrlProps/ctrlProp90.xml"/><Relationship Id="rId8" Type="http://schemas.openxmlformats.org/officeDocument/2006/relationships/ctrlProp" Target="../ctrlProps/ctrlProp50.xml"/><Relationship Id="rId51" Type="http://schemas.openxmlformats.org/officeDocument/2006/relationships/ctrlProp" Target="../ctrlProps/ctrlProp93.xml"/><Relationship Id="rId3" Type="http://schemas.openxmlformats.org/officeDocument/2006/relationships/vmlDrawing" Target="../drawings/vmlDrawing2.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46" Type="http://schemas.openxmlformats.org/officeDocument/2006/relationships/ctrlProp" Target="../ctrlProps/ctrlProp88.xml"/><Relationship Id="rId20" Type="http://schemas.openxmlformats.org/officeDocument/2006/relationships/ctrlProp" Target="../ctrlProps/ctrlProp62.xml"/><Relationship Id="rId41" Type="http://schemas.openxmlformats.org/officeDocument/2006/relationships/ctrlProp" Target="../ctrlProps/ctrlProp83.xml"/><Relationship Id="rId1" Type="http://schemas.openxmlformats.org/officeDocument/2006/relationships/printerSettings" Target="../printerSettings/printerSettings3.bin"/><Relationship Id="rId6"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F19"/>
  <sheetViews>
    <sheetView showGridLines="0" tabSelected="1" workbookViewId="0">
      <selection activeCell="C3" sqref="C3"/>
    </sheetView>
  </sheetViews>
  <sheetFormatPr defaultRowHeight="14.4" x14ac:dyDescent="0.3"/>
  <cols>
    <col min="1" max="1" width="20.77734375" customWidth="1"/>
    <col min="2" max="2" width="31.21875" customWidth="1"/>
    <col min="3" max="3" width="27.77734375" customWidth="1"/>
    <col min="4" max="4" width="25.77734375" customWidth="1"/>
    <col min="5" max="5" width="23.44140625" customWidth="1"/>
    <col min="6" max="6" width="17.5546875" customWidth="1"/>
  </cols>
  <sheetData>
    <row r="1" spans="1:6" ht="18" x14ac:dyDescent="0.35">
      <c r="A1" s="149" t="s">
        <v>0</v>
      </c>
    </row>
    <row r="2" spans="1:6" x14ac:dyDescent="0.3">
      <c r="A2" s="160" t="s">
        <v>1</v>
      </c>
      <c r="B2" s="160" t="s">
        <v>2</v>
      </c>
      <c r="C2" s="160" t="s">
        <v>3</v>
      </c>
      <c r="D2" s="160" t="s">
        <v>4</v>
      </c>
      <c r="E2" s="160" t="s">
        <v>5</v>
      </c>
    </row>
    <row r="3" spans="1:6" x14ac:dyDescent="0.3">
      <c r="A3" s="165">
        <v>3</v>
      </c>
      <c r="B3" s="166">
        <v>45207</v>
      </c>
      <c r="C3" s="167" t="s">
        <v>244</v>
      </c>
      <c r="D3" s="167" t="s">
        <v>7</v>
      </c>
      <c r="E3" s="168"/>
    </row>
    <row r="4" spans="1:6" x14ac:dyDescent="0.3">
      <c r="A4" s="165"/>
      <c r="B4" s="167"/>
      <c r="C4" s="167"/>
      <c r="D4" s="167"/>
      <c r="E4" s="168"/>
    </row>
    <row r="5" spans="1:6" x14ac:dyDescent="0.3">
      <c r="A5" s="165"/>
      <c r="B5" s="167"/>
      <c r="C5" s="167"/>
      <c r="D5" s="167"/>
      <c r="E5" s="168"/>
    </row>
    <row r="7" spans="1:6" s="157" customFormat="1" ht="4.95" customHeight="1" x14ac:dyDescent="0.3"/>
    <row r="9" spans="1:6" ht="18" x14ac:dyDescent="0.35">
      <c r="A9" s="149" t="s">
        <v>8</v>
      </c>
    </row>
    <row r="10" spans="1:6" x14ac:dyDescent="0.3">
      <c r="A10" s="150" t="s">
        <v>9</v>
      </c>
      <c r="B10" s="151">
        <v>5</v>
      </c>
      <c r="C10" s="151">
        <v>4</v>
      </c>
      <c r="D10" s="151">
        <v>3</v>
      </c>
      <c r="E10" s="151">
        <v>2</v>
      </c>
      <c r="F10" s="152">
        <v>1</v>
      </c>
    </row>
    <row r="11" spans="1:6" ht="72" x14ac:dyDescent="0.3">
      <c r="A11" s="153" t="s">
        <v>10</v>
      </c>
      <c r="B11" s="154" t="s">
        <v>11</v>
      </c>
      <c r="C11" s="154" t="s">
        <v>12</v>
      </c>
      <c r="D11" s="154" t="s">
        <v>13</v>
      </c>
      <c r="E11" s="154" t="s">
        <v>14</v>
      </c>
      <c r="F11" s="154" t="s">
        <v>15</v>
      </c>
    </row>
    <row r="12" spans="1:6" ht="48" x14ac:dyDescent="0.3">
      <c r="A12" s="153" t="s">
        <v>16</v>
      </c>
      <c r="B12" s="154" t="s">
        <v>17</v>
      </c>
      <c r="C12" s="154" t="s">
        <v>18</v>
      </c>
      <c r="D12" s="154" t="s">
        <v>19</v>
      </c>
      <c r="E12" s="154" t="s">
        <v>20</v>
      </c>
      <c r="F12" s="154" t="s">
        <v>21</v>
      </c>
    </row>
    <row r="13" spans="1:6" ht="60" x14ac:dyDescent="0.3">
      <c r="A13" s="153" t="s">
        <v>22</v>
      </c>
      <c r="B13" s="154" t="s">
        <v>23</v>
      </c>
      <c r="C13" s="154" t="s">
        <v>24</v>
      </c>
      <c r="D13" s="154" t="s">
        <v>25</v>
      </c>
      <c r="E13" s="154" t="s">
        <v>26</v>
      </c>
      <c r="F13" s="154" t="s">
        <v>27</v>
      </c>
    </row>
    <row r="14" spans="1:6" x14ac:dyDescent="0.3">
      <c r="A14" s="155"/>
      <c r="B14" s="18"/>
      <c r="C14" s="18"/>
      <c r="D14" s="18"/>
      <c r="E14" s="18"/>
      <c r="F14" s="18"/>
    </row>
    <row r="15" spans="1:6" x14ac:dyDescent="0.3">
      <c r="A15" s="156" t="s">
        <v>28</v>
      </c>
      <c r="B15" s="151">
        <v>5</v>
      </c>
      <c r="C15" s="151">
        <v>4</v>
      </c>
      <c r="D15" s="151">
        <v>3</v>
      </c>
      <c r="E15" s="151">
        <v>2</v>
      </c>
      <c r="F15" s="152">
        <v>1</v>
      </c>
    </row>
    <row r="16" spans="1:6" ht="60" x14ac:dyDescent="0.3">
      <c r="A16" s="153" t="s">
        <v>29</v>
      </c>
      <c r="B16" s="154" t="s">
        <v>30</v>
      </c>
      <c r="C16" s="154" t="s">
        <v>31</v>
      </c>
      <c r="D16" s="154" t="s">
        <v>32</v>
      </c>
      <c r="E16" s="154" t="s">
        <v>33</v>
      </c>
      <c r="F16" s="154" t="s">
        <v>34</v>
      </c>
    </row>
    <row r="17" spans="1:6" ht="60" x14ac:dyDescent="0.3">
      <c r="A17" s="153" t="s">
        <v>35</v>
      </c>
      <c r="B17" s="154" t="s">
        <v>36</v>
      </c>
      <c r="C17" s="154" t="s">
        <v>37</v>
      </c>
      <c r="D17" s="154" t="s">
        <v>38</v>
      </c>
      <c r="E17" s="154" t="s">
        <v>39</v>
      </c>
      <c r="F17" s="154" t="s">
        <v>40</v>
      </c>
    </row>
    <row r="19" spans="1:6" s="157" customFormat="1" ht="4.95" customHeight="1" x14ac:dyDescent="0.3"/>
  </sheetData>
  <sheetProtection algorithmName="SHA-512" hashValue="Lj280AXamOfhn5WRZeJ05BeEEa0fMZ6L0NW2OyGz2WcKMVOg2BnWhS4wws78n4o8yJ0q01452nyQC+k1+MHC6A==" saltValue="LFDhrINjBQ2KCOyT9Yj8+A==" spinCount="100000" sheet="1" objects="1" scenario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V564"/>
  <sheetViews>
    <sheetView showGridLines="0" topLeftCell="A5" zoomScale="63" zoomScaleNormal="63" workbookViewId="0">
      <selection activeCell="C13" sqref="C13"/>
    </sheetView>
  </sheetViews>
  <sheetFormatPr defaultColWidth="0" defaultRowHeight="15" customHeight="1" zeroHeight="1" outlineLevelRow="1" x14ac:dyDescent="0.3"/>
  <cols>
    <col min="1" max="2" width="1.77734375" style="113" customWidth="1"/>
    <col min="3" max="3" width="32.44140625" style="17" customWidth="1"/>
    <col min="4" max="4" width="38.77734375" style="17" customWidth="1"/>
    <col min="5" max="5" width="14.77734375" style="17" customWidth="1"/>
    <col min="6" max="6" width="44.77734375" style="17" customWidth="1"/>
    <col min="7" max="7" width="10.77734375" style="17" customWidth="1"/>
    <col min="8" max="9" width="15.77734375" style="17" customWidth="1"/>
    <col min="10" max="10" width="15" style="17" customWidth="1"/>
    <col min="11" max="11" width="2.77734375" style="17" customWidth="1"/>
    <col min="12" max="13" width="8.77734375" style="17" customWidth="1"/>
    <col min="14" max="14" width="8.77734375" style="17" hidden="1" customWidth="1"/>
    <col min="15" max="15" width="29.21875" style="17" hidden="1" customWidth="1"/>
    <col min="16" max="16" width="48.21875" style="17" hidden="1" customWidth="1"/>
    <col min="17" max="17" width="8.77734375" style="17" hidden="1" customWidth="1"/>
    <col min="18" max="18" width="19.77734375" style="17" hidden="1" customWidth="1"/>
    <col min="19" max="19" width="12.77734375" style="17" hidden="1" customWidth="1"/>
    <col min="20" max="20" width="15.21875" style="17" hidden="1" customWidth="1"/>
    <col min="21" max="30" width="8.77734375" style="17" hidden="1" customWidth="1"/>
    <col min="31" max="31" width="11.77734375" style="17" hidden="1" customWidth="1"/>
    <col min="32" max="99" width="8.77734375" style="17" hidden="1" customWidth="1"/>
    <col min="100" max="100" width="9.21875" style="17" hidden="1" customWidth="1"/>
    <col min="101" max="16384" width="8.77734375" style="17" hidden="1"/>
  </cols>
  <sheetData>
    <row r="1" spans="1:100" s="6" customFormat="1" ht="14.7" hidden="1" customHeight="1" outlineLevel="1" x14ac:dyDescent="0.2">
      <c r="A1" s="5"/>
      <c r="B1" s="5"/>
      <c r="C1" s="5"/>
      <c r="D1" s="5"/>
      <c r="E1" s="5"/>
      <c r="F1" s="5"/>
      <c r="G1" s="5"/>
      <c r="H1" s="5"/>
      <c r="I1" s="5"/>
      <c r="J1" s="5"/>
      <c r="K1" s="5"/>
      <c r="L1" s="5"/>
      <c r="M1" s="212" t="s">
        <v>41</v>
      </c>
      <c r="N1" s="213"/>
      <c r="O1" s="213"/>
      <c r="P1" s="213"/>
      <c r="Q1" s="213"/>
      <c r="R1" s="213"/>
      <c r="S1" s="214" t="s">
        <v>42</v>
      </c>
      <c r="T1" s="214"/>
      <c r="U1" s="214"/>
      <c r="V1" s="214"/>
      <c r="W1" s="214"/>
      <c r="X1" s="214"/>
      <c r="Y1" s="214"/>
      <c r="Z1" s="214"/>
      <c r="AA1" s="214"/>
      <c r="AB1" s="214"/>
      <c r="AC1" s="214"/>
      <c r="AD1" s="214"/>
      <c r="AE1" s="214"/>
      <c r="AF1" s="214"/>
      <c r="AG1" s="255"/>
      <c r="AH1" s="255"/>
      <c r="AI1" s="255"/>
      <c r="AJ1" s="255"/>
      <c r="AK1" s="255"/>
      <c r="AL1" s="255"/>
      <c r="AM1" s="255"/>
      <c r="AN1" s="255"/>
      <c r="AO1" s="255"/>
      <c r="AP1" s="255"/>
      <c r="AQ1" s="255"/>
      <c r="AR1" s="255"/>
      <c r="AS1" s="255"/>
      <c r="AT1" s="255"/>
      <c r="AU1" s="255"/>
      <c r="AV1" s="255"/>
      <c r="AW1" s="255"/>
      <c r="AX1" s="255"/>
      <c r="AY1" s="255"/>
      <c r="AZ1" s="255"/>
      <c r="BA1" s="255"/>
      <c r="BB1" s="255"/>
      <c r="BC1" s="255"/>
      <c r="BD1" s="255"/>
      <c r="BE1" s="255"/>
      <c r="BF1" s="255"/>
      <c r="BG1" s="255"/>
      <c r="BH1" s="255"/>
      <c r="BI1" s="255"/>
      <c r="BJ1" s="255"/>
      <c r="BK1" s="255"/>
      <c r="BL1" s="255"/>
      <c r="BM1" s="255"/>
      <c r="BN1" s="255"/>
      <c r="BO1" s="255"/>
      <c r="BP1" s="214" t="s">
        <v>43</v>
      </c>
      <c r="BQ1" s="214"/>
      <c r="BR1" s="214"/>
      <c r="BS1" s="214"/>
      <c r="BT1" s="214"/>
      <c r="BU1" s="214"/>
      <c r="BV1" s="214"/>
      <c r="BW1" s="214"/>
      <c r="BX1" s="214"/>
      <c r="BY1" s="214"/>
      <c r="BZ1" s="214"/>
      <c r="CA1" s="214"/>
      <c r="CB1" s="214"/>
      <c r="CC1" s="214"/>
      <c r="CD1" s="214"/>
      <c r="CE1" s="214"/>
      <c r="CF1" s="214"/>
      <c r="CG1" s="246" t="s">
        <v>44</v>
      </c>
      <c r="CH1" s="246"/>
      <c r="CI1" s="246"/>
      <c r="CJ1" s="246"/>
      <c r="CK1" s="246"/>
      <c r="CL1" s="246"/>
      <c r="CM1" s="246"/>
      <c r="CN1" s="246"/>
      <c r="CO1" s="246"/>
      <c r="CP1" s="246"/>
      <c r="CQ1" s="247" t="s">
        <v>45</v>
      </c>
      <c r="CR1" s="247"/>
      <c r="CS1" s="247"/>
      <c r="CT1" s="247"/>
      <c r="CU1" s="247"/>
      <c r="CV1" s="68"/>
    </row>
    <row r="2" spans="1:100" s="6" customFormat="1" ht="14.7" hidden="1" customHeight="1" outlineLevel="1" x14ac:dyDescent="0.2">
      <c r="A2" s="7"/>
      <c r="B2" s="7"/>
      <c r="C2" s="7"/>
      <c r="D2" s="7"/>
      <c r="E2" s="7"/>
      <c r="F2" s="7"/>
      <c r="G2" s="7"/>
      <c r="H2" s="7"/>
      <c r="I2" s="7"/>
      <c r="J2" s="7"/>
      <c r="K2" s="7"/>
      <c r="L2" s="7"/>
      <c r="M2" s="215" t="s">
        <v>46</v>
      </c>
      <c r="N2" s="216"/>
      <c r="O2" s="216"/>
      <c r="P2" s="216"/>
      <c r="Q2" s="216"/>
      <c r="R2" s="217"/>
      <c r="S2" s="218" t="s">
        <v>47</v>
      </c>
      <c r="T2" s="219"/>
      <c r="U2" s="220" t="s">
        <v>48</v>
      </c>
      <c r="V2" s="221"/>
      <c r="W2" s="219"/>
      <c r="X2" s="222" t="s">
        <v>49</v>
      </c>
      <c r="Y2" s="223"/>
      <c r="Z2" s="220" t="s">
        <v>50</v>
      </c>
      <c r="AA2" s="221"/>
      <c r="AB2" s="221"/>
      <c r="AC2" s="221"/>
      <c r="AD2" s="221"/>
      <c r="AE2" s="219"/>
      <c r="AF2" s="66" t="s">
        <v>51</v>
      </c>
      <c r="AG2" s="214" t="s">
        <v>52</v>
      </c>
      <c r="AH2" s="214"/>
      <c r="AI2" s="214" t="s">
        <v>53</v>
      </c>
      <c r="AJ2" s="214"/>
      <c r="AK2" s="214"/>
      <c r="AL2" s="214"/>
      <c r="AM2" s="214" t="s">
        <v>54</v>
      </c>
      <c r="AN2" s="214"/>
      <c r="AO2" s="214"/>
      <c r="AP2" s="214" t="s">
        <v>55</v>
      </c>
      <c r="AQ2" s="214"/>
      <c r="AR2" s="214"/>
      <c r="AS2" s="214"/>
      <c r="AT2" s="214"/>
      <c r="AU2" s="214" t="s">
        <v>56</v>
      </c>
      <c r="AV2" s="214"/>
      <c r="AW2" s="214"/>
      <c r="AX2" s="214" t="s">
        <v>57</v>
      </c>
      <c r="AY2" s="214"/>
      <c r="AZ2" s="214"/>
      <c r="BA2" s="214"/>
      <c r="BB2" s="214"/>
      <c r="BC2" s="214"/>
      <c r="BD2" s="214"/>
      <c r="BE2" s="214"/>
      <c r="BF2" s="214" t="s">
        <v>58</v>
      </c>
      <c r="BG2" s="214"/>
      <c r="BH2" s="68" t="s">
        <v>59</v>
      </c>
      <c r="BI2" s="214" t="s">
        <v>60</v>
      </c>
      <c r="BJ2" s="214"/>
      <c r="BK2" s="68" t="s">
        <v>61</v>
      </c>
      <c r="BL2" s="68" t="s">
        <v>62</v>
      </c>
      <c r="BM2" s="68" t="s">
        <v>63</v>
      </c>
      <c r="BN2" s="68" t="s">
        <v>64</v>
      </c>
      <c r="BO2" s="69" t="s">
        <v>51</v>
      </c>
      <c r="BP2" s="218" t="s">
        <v>47</v>
      </c>
      <c r="BQ2" s="219"/>
      <c r="BR2" s="220" t="s">
        <v>48</v>
      </c>
      <c r="BS2" s="221"/>
      <c r="BT2" s="219"/>
      <c r="BU2" s="222" t="s">
        <v>49</v>
      </c>
      <c r="BV2" s="248"/>
      <c r="BW2" s="248"/>
      <c r="BX2" s="248"/>
      <c r="BY2" s="223"/>
      <c r="BZ2" s="220" t="s">
        <v>50</v>
      </c>
      <c r="CA2" s="221"/>
      <c r="CB2" s="221"/>
      <c r="CC2" s="221"/>
      <c r="CD2" s="221"/>
      <c r="CE2" s="219"/>
      <c r="CF2" s="66" t="s">
        <v>51</v>
      </c>
      <c r="CG2" s="137"/>
      <c r="CH2" s="137"/>
      <c r="CI2" s="137"/>
      <c r="CJ2" s="137"/>
      <c r="CK2" s="137"/>
      <c r="CL2" s="137"/>
      <c r="CM2" s="137"/>
      <c r="CN2" s="137"/>
      <c r="CO2" s="137"/>
      <c r="CP2" s="137"/>
      <c r="CQ2" s="68" t="s">
        <v>47</v>
      </c>
      <c r="CR2" s="68" t="s">
        <v>48</v>
      </c>
      <c r="CS2" s="68" t="s">
        <v>49</v>
      </c>
      <c r="CT2" s="68" t="s">
        <v>50</v>
      </c>
      <c r="CU2" s="68" t="s">
        <v>51</v>
      </c>
      <c r="CV2" s="68" t="s">
        <v>65</v>
      </c>
    </row>
    <row r="3" spans="1:100" s="6" customFormat="1" ht="14.7" hidden="1" customHeight="1" outlineLevel="1" x14ac:dyDescent="0.2">
      <c r="A3" s="8" t="s">
        <v>66</v>
      </c>
      <c r="B3" s="8" t="s">
        <v>67</v>
      </c>
      <c r="C3" s="8" t="s">
        <v>68</v>
      </c>
      <c r="D3" s="8" t="s">
        <v>69</v>
      </c>
      <c r="E3" s="8" t="s">
        <v>70</v>
      </c>
      <c r="F3" s="8" t="s">
        <v>71</v>
      </c>
      <c r="G3" s="8" t="s">
        <v>72</v>
      </c>
      <c r="H3" s="8" t="s">
        <v>73</v>
      </c>
      <c r="I3" s="8" t="s">
        <v>74</v>
      </c>
      <c r="J3" s="8" t="s">
        <v>75</v>
      </c>
      <c r="K3" s="8" t="s">
        <v>76</v>
      </c>
      <c r="L3" s="9" t="s">
        <v>77</v>
      </c>
      <c r="M3" s="5" t="s">
        <v>78</v>
      </c>
      <c r="N3" s="5" t="s">
        <v>79</v>
      </c>
      <c r="O3" s="5" t="s">
        <v>80</v>
      </c>
      <c r="P3" s="5" t="s">
        <v>81</v>
      </c>
      <c r="Q3" s="10" t="s">
        <v>82</v>
      </c>
      <c r="R3" s="8" t="s">
        <v>83</v>
      </c>
      <c r="S3" s="11" t="s">
        <v>52</v>
      </c>
      <c r="T3" s="11" t="s">
        <v>84</v>
      </c>
      <c r="U3" s="11" t="s">
        <v>54</v>
      </c>
      <c r="V3" s="11" t="s">
        <v>85</v>
      </c>
      <c r="W3" s="11" t="s">
        <v>56</v>
      </c>
      <c r="X3" s="11" t="s">
        <v>86</v>
      </c>
      <c r="Y3" s="11" t="s">
        <v>58</v>
      </c>
      <c r="Z3" s="11" t="s">
        <v>59</v>
      </c>
      <c r="AA3" s="11" t="s">
        <v>60</v>
      </c>
      <c r="AB3" s="11" t="s">
        <v>61</v>
      </c>
      <c r="AC3" s="11" t="s">
        <v>62</v>
      </c>
      <c r="AD3" s="11" t="s">
        <v>63</v>
      </c>
      <c r="AE3" s="45" t="s">
        <v>64</v>
      </c>
      <c r="AF3" s="129" t="s">
        <v>51</v>
      </c>
      <c r="AG3" s="12" t="s">
        <v>87</v>
      </c>
      <c r="AH3" s="12" t="s">
        <v>88</v>
      </c>
      <c r="AI3" s="12" t="s">
        <v>89</v>
      </c>
      <c r="AJ3" s="12" t="s">
        <v>90</v>
      </c>
      <c r="AK3" s="12" t="s">
        <v>91</v>
      </c>
      <c r="AL3" s="12" t="s">
        <v>92</v>
      </c>
      <c r="AM3" s="12" t="s">
        <v>93</v>
      </c>
      <c r="AN3" s="12" t="s">
        <v>94</v>
      </c>
      <c r="AO3" s="12" t="s">
        <v>95</v>
      </c>
      <c r="AP3" s="135" t="s">
        <v>96</v>
      </c>
      <c r="AQ3" s="67" t="s">
        <v>97</v>
      </c>
      <c r="AR3" s="135" t="s">
        <v>98</v>
      </c>
      <c r="AS3" s="136" t="s">
        <v>99</v>
      </c>
      <c r="AT3" s="136" t="s">
        <v>100</v>
      </c>
      <c r="AU3" s="136" t="s">
        <v>101</v>
      </c>
      <c r="AV3" s="134" t="s">
        <v>102</v>
      </c>
      <c r="AW3" s="12" t="s">
        <v>103</v>
      </c>
      <c r="AX3" s="136" t="s">
        <v>104</v>
      </c>
      <c r="AY3" s="134" t="s">
        <v>105</v>
      </c>
      <c r="AZ3" s="135" t="s">
        <v>106</v>
      </c>
      <c r="BA3" s="134" t="s">
        <v>107</v>
      </c>
      <c r="BB3" s="12" t="s">
        <v>108</v>
      </c>
      <c r="BC3" s="12" t="s">
        <v>109</v>
      </c>
      <c r="BD3" s="12" t="s">
        <v>110</v>
      </c>
      <c r="BE3" s="12" t="s">
        <v>111</v>
      </c>
      <c r="BF3" s="12" t="s">
        <v>112</v>
      </c>
      <c r="BG3" s="12" t="s">
        <v>113</v>
      </c>
      <c r="BH3" s="12" t="s">
        <v>114</v>
      </c>
      <c r="BI3" s="12" t="s">
        <v>115</v>
      </c>
      <c r="BJ3" s="12" t="s">
        <v>116</v>
      </c>
      <c r="BK3" s="12" t="s">
        <v>117</v>
      </c>
      <c r="BL3" s="12" t="s">
        <v>118</v>
      </c>
      <c r="BM3" s="12" t="s">
        <v>119</v>
      </c>
      <c r="BN3" s="12" t="s">
        <v>120</v>
      </c>
      <c r="BO3" s="70" t="s">
        <v>51</v>
      </c>
      <c r="BP3" s="11" t="s">
        <v>52</v>
      </c>
      <c r="BQ3" s="11" t="s">
        <v>84</v>
      </c>
      <c r="BR3" s="11" t="s">
        <v>54</v>
      </c>
      <c r="BS3" s="11" t="s">
        <v>85</v>
      </c>
      <c r="BT3" s="11" t="s">
        <v>56</v>
      </c>
      <c r="BU3" s="11" t="s">
        <v>86</v>
      </c>
      <c r="BV3" s="11" t="s">
        <v>121</v>
      </c>
      <c r="BW3" s="11" t="s">
        <v>122</v>
      </c>
      <c r="BX3" s="11" t="s">
        <v>123</v>
      </c>
      <c r="BY3" s="11" t="s">
        <v>124</v>
      </c>
      <c r="BZ3" s="11" t="s">
        <v>59</v>
      </c>
      <c r="CA3" s="11" t="s">
        <v>60</v>
      </c>
      <c r="CB3" s="11" t="s">
        <v>61</v>
      </c>
      <c r="CC3" s="11" t="s">
        <v>62</v>
      </c>
      <c r="CD3" s="11" t="s">
        <v>63</v>
      </c>
      <c r="CE3" s="45" t="s">
        <v>64</v>
      </c>
      <c r="CF3" s="129" t="s">
        <v>51</v>
      </c>
      <c r="CG3" s="68" t="s">
        <v>52</v>
      </c>
      <c r="CH3" s="68" t="s">
        <v>84</v>
      </c>
      <c r="CI3" s="68" t="s">
        <v>54</v>
      </c>
      <c r="CJ3" s="68" t="s">
        <v>55</v>
      </c>
      <c r="CK3" s="68" t="s">
        <v>56</v>
      </c>
      <c r="CL3" s="68" t="s">
        <v>57</v>
      </c>
      <c r="CM3" s="68" t="s">
        <v>58</v>
      </c>
      <c r="CN3" s="68" t="s">
        <v>59</v>
      </c>
      <c r="CO3" s="68" t="s">
        <v>125</v>
      </c>
      <c r="CP3" s="68" t="s">
        <v>51</v>
      </c>
      <c r="CQ3" s="68" t="s">
        <v>47</v>
      </c>
      <c r="CR3" s="68" t="s">
        <v>48</v>
      </c>
      <c r="CS3" s="68" t="s">
        <v>49</v>
      </c>
      <c r="CT3" s="68" t="s">
        <v>50</v>
      </c>
      <c r="CU3" s="68" t="s">
        <v>51</v>
      </c>
      <c r="CV3" s="68" t="s">
        <v>65</v>
      </c>
    </row>
    <row r="4" spans="1:100" s="6" customFormat="1" ht="10.199999999999999" hidden="1" outlineLevel="1" x14ac:dyDescent="0.2">
      <c r="A4" s="11" t="e">
        <f>VLOOKUP($D$9,Table7[],COLUMN(A1),FALSE)</f>
        <v>#N/A</v>
      </c>
      <c r="B4" s="11" t="e">
        <f>VLOOKUP($D$9,Table7[],COLUMN(B1),FALSE)</f>
        <v>#N/A</v>
      </c>
      <c r="C4" s="11" t="e">
        <f>VLOOKUP($D$9,Table7[],COLUMN(C1),FALSE)</f>
        <v>#N/A</v>
      </c>
      <c r="D4" s="11" t="e">
        <f>VLOOKUP($D$9,Table7[],COLUMN(D1),FALSE)</f>
        <v>#N/A</v>
      </c>
      <c r="E4" s="11" t="e">
        <f>VLOOKUP($D$9,Table7[],COLUMN(E1),FALSE)</f>
        <v>#N/A</v>
      </c>
      <c r="F4" s="11" t="e">
        <f>VLOOKUP($D$9,Table7[],COLUMN(F1),FALSE)</f>
        <v>#N/A</v>
      </c>
      <c r="G4" s="11" t="e">
        <f>VLOOKUP($D$9,Table7[],COLUMN(G1),FALSE)</f>
        <v>#N/A</v>
      </c>
      <c r="H4" s="11" t="e">
        <f>VLOOKUP($D$9,Table7[],COLUMN(H1),FALSE)</f>
        <v>#N/A</v>
      </c>
      <c r="I4" s="11" t="e">
        <f>VLOOKUP($D$9,Table7[],COLUMN(I1),FALSE)</f>
        <v>#N/A</v>
      </c>
      <c r="J4" s="11" t="e">
        <f>VLOOKUP($D$9,Table7[],COLUMN(J1),FALSE)</f>
        <v>#N/A</v>
      </c>
      <c r="K4" s="11" t="e">
        <f>VLOOKUP($D$9,Table7[],COLUMN(K1),FALSE)</f>
        <v>#N/A</v>
      </c>
      <c r="L4" s="11" t="e">
        <f>VLOOKUP($D$9,Table7[],COLUMN(L1),FALSE)</f>
        <v>#N/A</v>
      </c>
      <c r="M4" s="11" t="e">
        <f>VLOOKUP($D$9,Table7[],COLUMN(M1),FALSE)</f>
        <v>#N/A</v>
      </c>
      <c r="N4" s="11" t="e">
        <f>VLOOKUP($D$9,Table7[],COLUMN(N1),FALSE)</f>
        <v>#N/A</v>
      </c>
      <c r="O4" s="11" t="e">
        <f>VLOOKUP($D$9,Table7[],COLUMN(O1),FALSE)</f>
        <v>#N/A</v>
      </c>
      <c r="P4" s="11" t="e">
        <f>VLOOKUP($D$9,Table7[],COLUMN(P1),FALSE)</f>
        <v>#N/A</v>
      </c>
      <c r="Q4" s="11" t="e">
        <f>VLOOKUP($D$9,Table7[],COLUMN(Q1),FALSE)</f>
        <v>#N/A</v>
      </c>
      <c r="R4" s="11" t="e">
        <f>VLOOKUP($D$9,Table7[],COLUMN(R1),FALSE)</f>
        <v>#N/A</v>
      </c>
      <c r="S4" s="11" t="e">
        <f>VLOOKUP($D$9,Table7[],COLUMN(S1),FALSE)</f>
        <v>#N/A</v>
      </c>
      <c r="T4" s="11" t="e">
        <f>VLOOKUP($D$9,Table7[],COLUMN(T1),FALSE)</f>
        <v>#N/A</v>
      </c>
      <c r="U4" s="11" t="e">
        <f>VLOOKUP($D$9,Table7[],COLUMN(U1),FALSE)</f>
        <v>#N/A</v>
      </c>
      <c r="V4" s="11" t="e">
        <f>VLOOKUP($D$9,Table7[],COLUMN(V1),FALSE)</f>
        <v>#N/A</v>
      </c>
      <c r="W4" s="11" t="e">
        <f>VLOOKUP($D$9,Table7[],COLUMN(W1),FALSE)</f>
        <v>#N/A</v>
      </c>
      <c r="X4" s="11" t="e">
        <f>VLOOKUP($D$9,Table7[],COLUMN(X1),FALSE)</f>
        <v>#N/A</v>
      </c>
      <c r="Y4" s="11" t="e">
        <f>VLOOKUP($D$9,Table7[],COLUMN(Y1),FALSE)</f>
        <v>#N/A</v>
      </c>
      <c r="Z4" s="11" t="e">
        <f>VLOOKUP($D$9,Table7[],COLUMN(Z1),FALSE)</f>
        <v>#N/A</v>
      </c>
      <c r="AA4" s="11" t="e">
        <f>VLOOKUP($D$9,Table7[],COLUMN(AA1),FALSE)</f>
        <v>#N/A</v>
      </c>
      <c r="AB4" s="11" t="e">
        <f>VLOOKUP($D$9,Table7[],COLUMN(AB1),FALSE)</f>
        <v>#N/A</v>
      </c>
      <c r="AC4" s="11" t="e">
        <f>VLOOKUP($D$9,Table7[],COLUMN(AC1),FALSE)</f>
        <v>#N/A</v>
      </c>
      <c r="AD4" s="11" t="e">
        <f>VLOOKUP($D$9,Table7[],COLUMN(AD1),FALSE)</f>
        <v>#N/A</v>
      </c>
      <c r="AE4" s="11" t="e">
        <f>VLOOKUP($D$9,Table7[],COLUMN(AE1),FALSE)</f>
        <v>#N/A</v>
      </c>
      <c r="AF4" s="11" t="e">
        <f>VLOOKUP($D$9,Table7[],COLUMN(AF1),FALSE)</f>
        <v>#N/A</v>
      </c>
      <c r="AG4" s="11" t="e">
        <f>VLOOKUP($D$9,Table7[],COLUMN(AG1),FALSE)</f>
        <v>#N/A</v>
      </c>
      <c r="AH4" s="11" t="e">
        <f>VLOOKUP($D$9,Table7[],COLUMN(AH1),FALSE)</f>
        <v>#N/A</v>
      </c>
      <c r="AI4" s="11" t="e">
        <f>VLOOKUP($D$9,Table7[],COLUMN(AI1),FALSE)</f>
        <v>#N/A</v>
      </c>
      <c r="AJ4" s="11" t="e">
        <f>VLOOKUP($D$9,Table7[],COLUMN(AJ1),FALSE)</f>
        <v>#N/A</v>
      </c>
      <c r="AK4" s="11" t="e">
        <f>VLOOKUP($D$9,Table7[],COLUMN(AK1),FALSE)</f>
        <v>#N/A</v>
      </c>
      <c r="AL4" s="11" t="e">
        <f>VLOOKUP($D$9,Table7[],COLUMN(AL1),FALSE)</f>
        <v>#N/A</v>
      </c>
      <c r="AM4" s="11" t="e">
        <f>VLOOKUP($D$9,Table7[],COLUMN(AM1),FALSE)</f>
        <v>#N/A</v>
      </c>
      <c r="AN4" s="11" t="e">
        <f>VLOOKUP($D$9,Table7[],COLUMN(AN1),FALSE)</f>
        <v>#N/A</v>
      </c>
      <c r="AO4" s="11" t="e">
        <f>VLOOKUP($D$9,Table7[],COLUMN(AO1),FALSE)</f>
        <v>#N/A</v>
      </c>
      <c r="AP4" s="11" t="e">
        <f>VLOOKUP($D$9,Table7[],COLUMN(AP1),FALSE)</f>
        <v>#N/A</v>
      </c>
      <c r="AQ4" s="11" t="e">
        <f>VLOOKUP($D$9,Table7[],COLUMN(AQ1),FALSE)</f>
        <v>#N/A</v>
      </c>
      <c r="AR4" s="11" t="e">
        <f>VLOOKUP($D$9,Table7[],COLUMN(AR1),FALSE)</f>
        <v>#N/A</v>
      </c>
      <c r="AS4" s="11" t="e">
        <f>VLOOKUP($D$9,Table7[],COLUMN(AS1),FALSE)</f>
        <v>#N/A</v>
      </c>
      <c r="AT4" s="11" t="e">
        <f>VLOOKUP($D$9,Table7[],COLUMN(AT1),FALSE)</f>
        <v>#N/A</v>
      </c>
      <c r="AU4" s="11" t="e">
        <f>VLOOKUP($D$9,Table7[],COLUMN(AU1),FALSE)</f>
        <v>#N/A</v>
      </c>
      <c r="AV4" s="11" t="e">
        <f>VLOOKUP($D$9,Table7[],COLUMN(AV1),FALSE)</f>
        <v>#N/A</v>
      </c>
      <c r="AW4" s="11" t="e">
        <f>VLOOKUP($D$9,Table7[],COLUMN(AW1),FALSE)</f>
        <v>#N/A</v>
      </c>
      <c r="AX4" s="11" t="e">
        <f>VLOOKUP($D$9,Table7[],COLUMN(AX1),FALSE)</f>
        <v>#N/A</v>
      </c>
      <c r="AY4" s="11" t="e">
        <f>VLOOKUP($D$9,Table7[],COLUMN(AY1),FALSE)</f>
        <v>#N/A</v>
      </c>
      <c r="AZ4" s="11" t="e">
        <f>VLOOKUP($D$9,Table7[],COLUMN(AZ1),FALSE)</f>
        <v>#N/A</v>
      </c>
      <c r="BA4" s="11" t="e">
        <f>VLOOKUP($D$9,Table7[],COLUMN(BA1),FALSE)</f>
        <v>#N/A</v>
      </c>
      <c r="BB4" s="11" t="e">
        <f>VLOOKUP($D$9,Table7[],COLUMN(BB1),FALSE)</f>
        <v>#N/A</v>
      </c>
      <c r="BC4" s="11" t="e">
        <f>VLOOKUP($D$9,Table7[],COLUMN(BC1),FALSE)</f>
        <v>#N/A</v>
      </c>
      <c r="BD4" s="11" t="e">
        <f>VLOOKUP($D$9,Table7[],COLUMN(BD1),FALSE)</f>
        <v>#N/A</v>
      </c>
      <c r="BE4" s="11" t="e">
        <f>VLOOKUP($D$9,Table7[],COLUMN(BE1),FALSE)</f>
        <v>#N/A</v>
      </c>
      <c r="BF4" s="11" t="e">
        <f>VLOOKUP($D$9,Table7[],COLUMN(BF1),FALSE)</f>
        <v>#N/A</v>
      </c>
      <c r="BG4" s="11" t="e">
        <f>VLOOKUP($D$9,Table7[],COLUMN(BG1),FALSE)</f>
        <v>#N/A</v>
      </c>
      <c r="BH4" s="11" t="e">
        <f>VLOOKUP($D$9,Table7[],COLUMN(BH1),FALSE)</f>
        <v>#N/A</v>
      </c>
      <c r="BI4" s="11" t="e">
        <f>VLOOKUP($D$9,Table7[],COLUMN(BI1),FALSE)</f>
        <v>#N/A</v>
      </c>
      <c r="BJ4" s="11" t="e">
        <f>VLOOKUP($D$9,Table7[],COLUMN(BJ1),FALSE)</f>
        <v>#N/A</v>
      </c>
      <c r="BK4" s="11" t="e">
        <f>VLOOKUP($D$9,Table7[],COLUMN(BK1),FALSE)</f>
        <v>#N/A</v>
      </c>
      <c r="BL4" s="11" t="e">
        <f>VLOOKUP($D$9,Table7[],COLUMN(BL1),FALSE)</f>
        <v>#N/A</v>
      </c>
      <c r="BM4" s="11" t="e">
        <f>VLOOKUP($D$9,Table7[],COLUMN(BM1),FALSE)</f>
        <v>#N/A</v>
      </c>
      <c r="BN4" s="11" t="e">
        <f>VLOOKUP($D$9,Table7[],COLUMN(BN1),FALSE)</f>
        <v>#N/A</v>
      </c>
      <c r="BO4" s="11" t="e">
        <f>VLOOKUP($D$9,Table7[],COLUMN(BO1),FALSE)</f>
        <v>#N/A</v>
      </c>
      <c r="BP4" s="11" t="e">
        <f>VLOOKUP($D$9,Table7[],COLUMN(BP1),FALSE)</f>
        <v>#N/A</v>
      </c>
      <c r="BQ4" s="11" t="e">
        <f>VLOOKUP($D$9,Table7[],COLUMN(BQ1),FALSE)</f>
        <v>#N/A</v>
      </c>
      <c r="BR4" s="11" t="e">
        <f>VLOOKUP($D$9,Table7[],COLUMN(BR1),FALSE)</f>
        <v>#N/A</v>
      </c>
      <c r="BS4" s="11" t="e">
        <f>VLOOKUP($D$9,Table7[],COLUMN(BS1),FALSE)</f>
        <v>#N/A</v>
      </c>
      <c r="BT4" s="11" t="e">
        <f>VLOOKUP($D$9,Table7[],COLUMN(BT1),FALSE)</f>
        <v>#N/A</v>
      </c>
      <c r="BU4" s="11" t="e">
        <f>VLOOKUP($D$9,Table7[],COLUMN(BU1),FALSE)</f>
        <v>#N/A</v>
      </c>
      <c r="BV4" s="11" t="e">
        <f>VLOOKUP($D$9,Table7[],COLUMN(BV1),FALSE)</f>
        <v>#N/A</v>
      </c>
      <c r="BW4" s="11" t="e">
        <f>VLOOKUP($D$9,Table7[],COLUMN(BW1),FALSE)</f>
        <v>#N/A</v>
      </c>
      <c r="BX4" s="11" t="e">
        <f>VLOOKUP($D$9,Table7[],COLUMN(BX1),FALSE)</f>
        <v>#N/A</v>
      </c>
      <c r="BY4" s="11" t="e">
        <f>VLOOKUP($D$9,Table7[],COLUMN(BY1),FALSE)</f>
        <v>#N/A</v>
      </c>
      <c r="BZ4" s="11" t="e">
        <f>VLOOKUP($D$9,Table7[],COLUMN(BZ1),FALSE)</f>
        <v>#N/A</v>
      </c>
      <c r="CA4" s="11" t="e">
        <f>VLOOKUP($D$9,Table7[],COLUMN(CA1),FALSE)</f>
        <v>#N/A</v>
      </c>
      <c r="CB4" s="11" t="e">
        <f>VLOOKUP($D$9,Table7[],COLUMN(CB1),FALSE)</f>
        <v>#N/A</v>
      </c>
      <c r="CC4" s="11" t="e">
        <f>VLOOKUP($D$9,Table7[],COLUMN(CC1),FALSE)</f>
        <v>#N/A</v>
      </c>
      <c r="CD4" s="11" t="e">
        <f>VLOOKUP($D$9,Table7[],COLUMN(CD1),FALSE)</f>
        <v>#N/A</v>
      </c>
      <c r="CE4" s="11" t="e">
        <f>VLOOKUP($D$9,Table7[],COLUMN(CE1),FALSE)</f>
        <v>#N/A</v>
      </c>
      <c r="CF4" s="11" t="e">
        <f>VLOOKUP($D$9,Table7[],COLUMN(CF1),FALSE)</f>
        <v>#N/A</v>
      </c>
      <c r="CG4" s="11" t="e">
        <f>VLOOKUP($D$9,Table7[],COLUMN(CG1),FALSE)</f>
        <v>#N/A</v>
      </c>
      <c r="CH4" s="11" t="e">
        <f>VLOOKUP($D$9,Table7[],COLUMN(CH1),FALSE)</f>
        <v>#N/A</v>
      </c>
      <c r="CI4" s="11" t="e">
        <f>VLOOKUP($D$9,Table7[],COLUMN(CI1),FALSE)</f>
        <v>#N/A</v>
      </c>
      <c r="CJ4" s="11" t="e">
        <f>VLOOKUP($D$9,Table7[],COLUMN(CJ1),FALSE)</f>
        <v>#N/A</v>
      </c>
      <c r="CK4" s="11" t="e">
        <f>VLOOKUP($D$9,Table7[],COLUMN(CK1),FALSE)</f>
        <v>#N/A</v>
      </c>
      <c r="CL4" s="11" t="e">
        <f>VLOOKUP($D$9,Table7[],COLUMN(CL1),FALSE)</f>
        <v>#N/A</v>
      </c>
      <c r="CM4" s="11" t="e">
        <f>VLOOKUP($D$9,Table7[],COLUMN(CM1),FALSE)</f>
        <v>#N/A</v>
      </c>
      <c r="CN4" s="11" t="e">
        <f>VLOOKUP($D$9,Table7[],COLUMN(CN1),FALSE)</f>
        <v>#N/A</v>
      </c>
      <c r="CO4" s="11" t="e">
        <f>VLOOKUP($D$9,Table7[],COLUMN(CO1),FALSE)</f>
        <v>#N/A</v>
      </c>
      <c r="CP4" s="11" t="e">
        <f>VLOOKUP($D$9,Table7[],COLUMN(CP1),FALSE)</f>
        <v>#N/A</v>
      </c>
      <c r="CQ4" s="11" t="e">
        <f>VLOOKUP($D$9,Table7[],COLUMN(CQ1),FALSE)</f>
        <v>#N/A</v>
      </c>
      <c r="CR4" s="11" t="e">
        <f>VLOOKUP($D$9,Table7[],COLUMN(CR1),FALSE)</f>
        <v>#N/A</v>
      </c>
      <c r="CS4" s="11" t="e">
        <f>VLOOKUP($D$9,Table7[],COLUMN(CS1),FALSE)</f>
        <v>#N/A</v>
      </c>
      <c r="CT4" s="11" t="e">
        <f>VLOOKUP($D$9,Table7[],COLUMN(CT1),FALSE)</f>
        <v>#N/A</v>
      </c>
      <c r="CU4" s="11" t="e">
        <f>VLOOKUP($D$9,Table7[],COLUMN(CU1),FALSE)</f>
        <v>#N/A</v>
      </c>
      <c r="CV4" s="11" t="e">
        <f>VLOOKUP($D$9,Table7[],COLUMN(CV1),FALSE)</f>
        <v>#N/A</v>
      </c>
    </row>
    <row r="5" spans="1:100" ht="14.4" collapsed="1" thickBot="1" x14ac:dyDescent="0.35">
      <c r="C5" s="113"/>
      <c r="D5" s="113"/>
      <c r="E5" s="113"/>
      <c r="F5" s="113"/>
      <c r="G5" s="113"/>
      <c r="H5" s="113"/>
      <c r="I5" s="113"/>
      <c r="J5" s="113"/>
      <c r="K5" s="174"/>
    </row>
    <row r="6" spans="1:100" ht="16.95" customHeight="1" x14ac:dyDescent="0.3">
      <c r="C6" s="232" t="s">
        <v>126</v>
      </c>
      <c r="D6" s="233"/>
      <c r="E6" s="233"/>
      <c r="F6" s="233"/>
      <c r="G6" s="233"/>
      <c r="H6" s="233"/>
      <c r="I6" s="233"/>
      <c r="J6" s="236"/>
      <c r="K6" s="174"/>
    </row>
    <row r="7" spans="1:100" ht="16.95" customHeight="1" x14ac:dyDescent="0.3">
      <c r="C7" s="234"/>
      <c r="D7" s="235"/>
      <c r="E7" s="235"/>
      <c r="F7" s="235"/>
      <c r="G7" s="235"/>
      <c r="H7" s="235"/>
      <c r="I7" s="235"/>
      <c r="J7" s="237"/>
      <c r="K7" s="174"/>
    </row>
    <row r="8" spans="1:100" ht="13.8" x14ac:dyDescent="0.3">
      <c r="C8" s="114"/>
      <c r="D8" s="19"/>
      <c r="E8" s="19"/>
      <c r="F8" s="19"/>
      <c r="G8" s="19"/>
      <c r="H8" s="19"/>
      <c r="I8" s="19"/>
      <c r="J8" s="115"/>
      <c r="K8" s="175"/>
    </row>
    <row r="9" spans="1:100" ht="15" customHeight="1" x14ac:dyDescent="0.3">
      <c r="C9" s="116" t="s">
        <v>66</v>
      </c>
      <c r="D9" s="22" t="s">
        <v>320</v>
      </c>
      <c r="E9" s="23"/>
      <c r="F9" s="21" t="s">
        <v>75</v>
      </c>
      <c r="G9" s="224"/>
      <c r="H9" s="225" t="str">
        <f>IFERROR(J$4,"")</f>
        <v/>
      </c>
      <c r="I9" s="24"/>
      <c r="J9" s="117"/>
      <c r="K9" s="175"/>
    </row>
    <row r="10" spans="1:100" ht="15" customHeight="1" x14ac:dyDescent="0.3">
      <c r="C10" s="118" t="s">
        <v>67</v>
      </c>
      <c r="D10" s="58" t="s">
        <v>176</v>
      </c>
      <c r="E10" s="23"/>
      <c r="F10" s="25" t="s">
        <v>76</v>
      </c>
      <c r="G10" s="226">
        <v>44988</v>
      </c>
      <c r="H10" s="227" t="str">
        <f>IFERROR(K$4,"")</f>
        <v/>
      </c>
      <c r="I10" s="26"/>
      <c r="J10" s="119"/>
      <c r="K10" s="175"/>
      <c r="CJ10" s="6"/>
      <c r="CK10" s="6"/>
      <c r="CL10" s="6"/>
      <c r="CM10" s="6"/>
      <c r="CN10" s="6"/>
    </row>
    <row r="11" spans="1:100" ht="15" customHeight="1" x14ac:dyDescent="0.3">
      <c r="C11" s="118" t="s">
        <v>69</v>
      </c>
      <c r="D11" s="58" t="s">
        <v>226</v>
      </c>
      <c r="E11" s="23"/>
      <c r="F11" s="27" t="s">
        <v>77</v>
      </c>
      <c r="G11" s="228"/>
      <c r="H11" s="229" t="str">
        <f>IFERROR(L$4,"")</f>
        <v/>
      </c>
      <c r="I11" s="26"/>
      <c r="J11" s="119"/>
      <c r="K11" s="175"/>
    </row>
    <row r="12" spans="1:100" ht="15" customHeight="1" x14ac:dyDescent="0.3">
      <c r="C12" s="118" t="s">
        <v>68</v>
      </c>
      <c r="D12" s="106" t="s">
        <v>179</v>
      </c>
      <c r="E12" s="23"/>
      <c r="F12" s="28"/>
      <c r="G12" s="29"/>
      <c r="H12" s="30"/>
      <c r="I12" s="30"/>
      <c r="J12" s="120"/>
      <c r="K12" s="175"/>
    </row>
    <row r="13" spans="1:100" ht="15" customHeight="1" x14ac:dyDescent="0.3">
      <c r="C13" s="121" t="s">
        <v>70</v>
      </c>
      <c r="D13" s="57" t="s">
        <v>227</v>
      </c>
      <c r="E13" s="23"/>
      <c r="F13" s="28"/>
      <c r="G13" s="29"/>
      <c r="H13" s="31"/>
      <c r="I13" s="31"/>
      <c r="J13" s="122"/>
      <c r="K13" s="175"/>
    </row>
    <row r="14" spans="1:100" ht="13.2" customHeight="1" x14ac:dyDescent="0.3">
      <c r="C14" s="123"/>
      <c r="D14" s="32"/>
      <c r="E14" s="32"/>
      <c r="F14" s="21" t="s">
        <v>78</v>
      </c>
      <c r="G14" s="224"/>
      <c r="H14" s="225" t="str">
        <f>IFERROR(M$4,"")</f>
        <v/>
      </c>
      <c r="I14" s="31"/>
      <c r="J14" s="122"/>
      <c r="K14" s="175"/>
    </row>
    <row r="15" spans="1:100" ht="16.2" customHeight="1" x14ac:dyDescent="0.3">
      <c r="C15" s="116" t="s">
        <v>71</v>
      </c>
      <c r="D15" s="92"/>
      <c r="E15" s="33"/>
      <c r="F15" s="25" t="s">
        <v>79</v>
      </c>
      <c r="G15" s="230"/>
      <c r="H15" s="231" t="str">
        <f>IFERROR(N$4,"")</f>
        <v/>
      </c>
      <c r="I15" s="31"/>
      <c r="J15" s="122"/>
      <c r="K15" s="175"/>
    </row>
    <row r="16" spans="1:100" ht="16.2" customHeight="1" x14ac:dyDescent="0.3">
      <c r="C16" s="118" t="s">
        <v>72</v>
      </c>
      <c r="D16" s="101"/>
      <c r="E16" s="33"/>
      <c r="F16" s="25" t="s">
        <v>80</v>
      </c>
      <c r="G16" s="230"/>
      <c r="H16" s="231" t="str">
        <f>IFERROR(O$4,"")</f>
        <v/>
      </c>
      <c r="I16" s="31"/>
      <c r="J16" s="122"/>
      <c r="K16" s="175"/>
    </row>
    <row r="17" spans="3:31" ht="16.2" customHeight="1" x14ac:dyDescent="0.3">
      <c r="C17" s="118" t="s">
        <v>73</v>
      </c>
      <c r="D17" s="93"/>
      <c r="E17" s="32"/>
      <c r="F17" s="51" t="s">
        <v>81</v>
      </c>
      <c r="G17" s="230"/>
      <c r="H17" s="231" t="str">
        <f>IFERROR(P$4,"")</f>
        <v/>
      </c>
      <c r="I17" s="31"/>
      <c r="J17" s="122"/>
      <c r="K17" s="175"/>
    </row>
    <row r="18" spans="3:31" ht="16.2" customHeight="1" x14ac:dyDescent="0.3">
      <c r="C18" s="240" t="s">
        <v>74</v>
      </c>
      <c r="D18" s="243"/>
      <c r="E18" s="55"/>
      <c r="F18" s="54" t="s">
        <v>82</v>
      </c>
      <c r="G18" s="230"/>
      <c r="H18" s="231" t="str">
        <f>IFERROR(Q$4,"")</f>
        <v/>
      </c>
      <c r="I18" s="53"/>
      <c r="J18" s="124"/>
      <c r="K18" s="176"/>
      <c r="L18" s="31"/>
      <c r="M18" s="31"/>
      <c r="N18" s="31"/>
      <c r="O18" s="31"/>
    </row>
    <row r="19" spans="3:31" ht="16.2" customHeight="1" x14ac:dyDescent="0.3">
      <c r="C19" s="241"/>
      <c r="D19" s="244"/>
      <c r="E19" s="34"/>
      <c r="F19" s="50" t="s">
        <v>83</v>
      </c>
      <c r="G19" s="249"/>
      <c r="H19" s="250" t="str">
        <f>IFERROR(R$4,"")</f>
        <v/>
      </c>
      <c r="I19" s="31"/>
      <c r="J19" s="122"/>
      <c r="K19" s="176"/>
      <c r="L19" s="31"/>
      <c r="M19" s="31"/>
    </row>
    <row r="20" spans="3:31" ht="16.2" customHeight="1" x14ac:dyDescent="0.3">
      <c r="C20" s="241"/>
      <c r="D20" s="244"/>
      <c r="E20" s="35"/>
      <c r="I20" s="31"/>
      <c r="J20" s="122"/>
      <c r="K20" s="175"/>
    </row>
    <row r="21" spans="3:31" ht="45" customHeight="1" x14ac:dyDescent="0.3">
      <c r="C21" s="242"/>
      <c r="D21" s="245"/>
      <c r="E21" s="32"/>
      <c r="F21" s="52" t="s">
        <v>127</v>
      </c>
      <c r="G21" s="251">
        <v>1</v>
      </c>
      <c r="H21" s="252"/>
      <c r="I21" s="253" t="s">
        <v>306</v>
      </c>
      <c r="J21" s="254"/>
      <c r="K21" s="175"/>
    </row>
    <row r="22" spans="3:31" ht="13.8" x14ac:dyDescent="0.3">
      <c r="C22" s="114"/>
      <c r="D22" s="19"/>
      <c r="E22" s="19"/>
      <c r="F22" s="19"/>
      <c r="G22" s="19"/>
      <c r="H22" s="19"/>
      <c r="I22" s="19"/>
      <c r="J22" s="115"/>
      <c r="K22" s="175"/>
    </row>
    <row r="23" spans="3:31" ht="13.8" x14ac:dyDescent="0.3">
      <c r="C23" s="114"/>
      <c r="D23" s="19"/>
      <c r="E23" s="19"/>
      <c r="F23" s="19"/>
      <c r="G23" s="19"/>
      <c r="H23" s="19"/>
      <c r="I23" s="19"/>
      <c r="J23" s="115"/>
      <c r="K23" s="175"/>
    </row>
    <row r="24" spans="3:31" ht="13.8" collapsed="1" x14ac:dyDescent="0.3">
      <c r="C24" s="125"/>
      <c r="D24" s="37"/>
      <c r="E24" s="38"/>
      <c r="F24" s="37"/>
      <c r="G24" s="38"/>
      <c r="H24" s="38"/>
      <c r="I24" s="38"/>
      <c r="J24" s="126"/>
      <c r="K24" s="174"/>
    </row>
    <row r="25" spans="3:31" ht="14.4" thickBot="1" x14ac:dyDescent="0.35">
      <c r="C25" s="322"/>
      <c r="D25" s="323"/>
      <c r="E25" s="323"/>
      <c r="F25" s="323"/>
      <c r="G25" s="323"/>
      <c r="H25" s="323"/>
      <c r="I25" s="323"/>
      <c r="J25" s="324"/>
      <c r="K25" s="174"/>
    </row>
    <row r="26" spans="3:31" ht="15" customHeight="1" x14ac:dyDescent="0.3">
      <c r="C26" s="325" t="s">
        <v>128</v>
      </c>
      <c r="D26" s="326"/>
      <c r="E26" s="39"/>
      <c r="F26" s="110" t="s">
        <v>129</v>
      </c>
      <c r="G26" s="327" t="s">
        <v>130</v>
      </c>
      <c r="H26" s="328"/>
      <c r="I26" s="329"/>
      <c r="J26" s="40" t="s">
        <v>131</v>
      </c>
      <c r="K26" s="174"/>
      <c r="O26" s="238" t="s">
        <v>132</v>
      </c>
      <c r="P26" s="238"/>
      <c r="Q26" s="41" t="s">
        <v>131</v>
      </c>
      <c r="R26" s="41" t="s">
        <v>133</v>
      </c>
      <c r="S26" s="41" t="s">
        <v>134</v>
      </c>
      <c r="T26" s="41" t="s">
        <v>45</v>
      </c>
    </row>
    <row r="27" spans="3:31" ht="22.2" customHeight="1" x14ac:dyDescent="0.3">
      <c r="C27" s="198" t="s">
        <v>47</v>
      </c>
      <c r="D27" s="269" t="s">
        <v>52</v>
      </c>
      <c r="E27" s="262" t="s">
        <v>166</v>
      </c>
      <c r="F27" s="103" t="b">
        <v>0</v>
      </c>
      <c r="G27" s="272"/>
      <c r="H27" s="272"/>
      <c r="I27" s="272"/>
      <c r="J27" s="273">
        <v>0.1</v>
      </c>
      <c r="K27" s="174"/>
      <c r="O27" s="274" t="s">
        <v>47</v>
      </c>
      <c r="P27" s="271" t="s">
        <v>52</v>
      </c>
      <c r="Q27" s="257">
        <v>0.1</v>
      </c>
      <c r="R27" s="87" cm="1">
        <f t="array" ref="R27:R28">IF(OR(F27:F28=TRUE),$Q$27,IF(F27:F28=FALSE,0,""))</f>
        <v>0</v>
      </c>
      <c r="S27" s="257" t="str">
        <f>IFERROR(CG$4,"")</f>
        <v/>
      </c>
      <c r="T27" s="257" t="str">
        <f>IFERROR(CQ$4,"")</f>
        <v/>
      </c>
    </row>
    <row r="28" spans="3:31" ht="32.25" customHeight="1" x14ac:dyDescent="0.3">
      <c r="C28" s="198"/>
      <c r="D28" s="269"/>
      <c r="E28" s="262"/>
      <c r="F28" s="103" t="b">
        <v>0</v>
      </c>
      <c r="G28" s="272"/>
      <c r="H28" s="272"/>
      <c r="I28" s="272"/>
      <c r="J28" s="273"/>
      <c r="K28" s="174"/>
      <c r="O28" s="274"/>
      <c r="P28" s="271"/>
      <c r="Q28" s="257"/>
      <c r="R28" s="87">
        <v>0</v>
      </c>
      <c r="S28" s="257"/>
      <c r="T28" s="257"/>
    </row>
    <row r="29" spans="3:31" ht="22.2" customHeight="1" x14ac:dyDescent="0.3">
      <c r="C29" s="198"/>
      <c r="D29" s="258" t="s">
        <v>84</v>
      </c>
      <c r="E29" s="261" t="s">
        <v>166</v>
      </c>
      <c r="F29" s="102" t="b">
        <v>0</v>
      </c>
      <c r="G29" s="200"/>
      <c r="H29" s="201"/>
      <c r="I29" s="201"/>
      <c r="J29" s="333">
        <v>0.1</v>
      </c>
      <c r="K29" s="174"/>
      <c r="O29" s="274"/>
      <c r="P29" s="271" t="s">
        <v>84</v>
      </c>
      <c r="Q29" s="256">
        <v>0.1</v>
      </c>
      <c r="R29" s="87">
        <f>IF(F29=TRUE,($Q$29/4),IF(F29=FALSE,0,""))</f>
        <v>0</v>
      </c>
      <c r="S29" s="256" t="str">
        <f>IFERROR(CH$4,"")</f>
        <v/>
      </c>
      <c r="T29" s="257"/>
    </row>
    <row r="30" spans="3:31" ht="22.2" customHeight="1" x14ac:dyDescent="0.3">
      <c r="C30" s="198"/>
      <c r="D30" s="269"/>
      <c r="E30" s="262" t="str">
        <f t="shared" ref="E30:E35" si="0">IFERROR(T$4,"")</f>
        <v/>
      </c>
      <c r="F30" s="103" t="b">
        <v>0</v>
      </c>
      <c r="G30" s="203"/>
      <c r="H30" s="204"/>
      <c r="I30" s="204"/>
      <c r="J30" s="334"/>
      <c r="K30" s="174"/>
      <c r="O30" s="274"/>
      <c r="P30" s="271"/>
      <c r="Q30" s="257"/>
      <c r="R30" s="87">
        <f>IF(F30=TRUE,($Q$29/4),IF(F30=FALSE,0,""))</f>
        <v>0</v>
      </c>
      <c r="S30" s="257"/>
      <c r="T30" s="257"/>
    </row>
    <row r="31" spans="3:31" ht="22.2" customHeight="1" x14ac:dyDescent="0.3">
      <c r="C31" s="198"/>
      <c r="D31" s="269"/>
      <c r="E31" s="262" t="str">
        <f t="shared" si="0"/>
        <v/>
      </c>
      <c r="F31" s="103" t="b">
        <v>0</v>
      </c>
      <c r="G31" s="203"/>
      <c r="H31" s="204"/>
      <c r="I31" s="204"/>
      <c r="J31" s="334"/>
      <c r="K31" s="174"/>
      <c r="O31" s="274"/>
      <c r="P31" s="271"/>
      <c r="Q31" s="257"/>
      <c r="R31" s="87">
        <f>IF(F31=TRUE,($Q$29/4),IF(F31=FALSE,0,""))</f>
        <v>0</v>
      </c>
      <c r="S31" s="257"/>
      <c r="T31" s="257"/>
      <c r="V31" s="71"/>
      <c r="W31" s="71"/>
      <c r="X31" s="71"/>
      <c r="Y31" s="71"/>
      <c r="Z31" s="71"/>
      <c r="AA31" s="71"/>
      <c r="AB31" s="71"/>
      <c r="AC31" s="71"/>
      <c r="AD31" s="71"/>
      <c r="AE31" s="71"/>
    </row>
    <row r="32" spans="3:31" ht="22.2" customHeight="1" x14ac:dyDescent="0.3">
      <c r="C32" s="239"/>
      <c r="D32" s="270"/>
      <c r="E32" s="263" t="str">
        <f t="shared" si="0"/>
        <v/>
      </c>
      <c r="F32" s="104" t="b">
        <v>0</v>
      </c>
      <c r="G32" s="203"/>
      <c r="H32" s="204"/>
      <c r="I32" s="204"/>
      <c r="J32" s="335"/>
      <c r="K32" s="174"/>
      <c r="O32" s="274"/>
      <c r="P32" s="271"/>
      <c r="Q32" s="268"/>
      <c r="R32" s="87">
        <f>IF(F32=TRUE,($Q$29/4),IF(F32=FALSE,0,""))</f>
        <v>0</v>
      </c>
      <c r="S32" s="268"/>
      <c r="T32" s="268"/>
    </row>
    <row r="33" spans="3:20" ht="22.2" customHeight="1" x14ac:dyDescent="0.3">
      <c r="C33" s="320" t="s">
        <v>48</v>
      </c>
      <c r="D33" s="258" t="s">
        <v>54</v>
      </c>
      <c r="E33" s="261" t="s">
        <v>166</v>
      </c>
      <c r="F33" s="102" t="b">
        <v>0</v>
      </c>
      <c r="G33" s="200"/>
      <c r="H33" s="201"/>
      <c r="I33" s="201"/>
      <c r="J33" s="266">
        <v>0.1</v>
      </c>
      <c r="K33" s="174"/>
      <c r="O33" s="275" t="s">
        <v>48</v>
      </c>
      <c r="P33" s="267" t="s">
        <v>54</v>
      </c>
      <c r="Q33" s="256">
        <v>0.2</v>
      </c>
      <c r="R33" s="256" cm="1">
        <f t="array" ref="R33">IF(COUNTIF(F33:F35,FALSE)&gt;2,0,IF(F33=TRUE,0.2,IF(OR(F34:F35=TRUE,F33=FALSE),0.1*COUNTIF(F34:F35,TRUE))))</f>
        <v>0</v>
      </c>
      <c r="S33" s="256" t="str">
        <f>IFERROR(CI$4,"")</f>
        <v/>
      </c>
      <c r="T33" s="256" t="str">
        <f>IFERROR(CR$4,"")</f>
        <v/>
      </c>
    </row>
    <row r="34" spans="3:20" ht="22.2" customHeight="1" x14ac:dyDescent="0.3">
      <c r="C34" s="321"/>
      <c r="D34" s="269"/>
      <c r="E34" s="262" t="str">
        <f t="shared" si="0"/>
        <v/>
      </c>
      <c r="F34" s="103" t="b">
        <v>0</v>
      </c>
      <c r="G34" s="203"/>
      <c r="H34" s="204"/>
      <c r="I34" s="204"/>
      <c r="J34" s="266"/>
      <c r="K34" s="174"/>
      <c r="O34" s="276"/>
      <c r="P34" s="267"/>
      <c r="Q34" s="257"/>
      <c r="R34" s="257"/>
      <c r="S34" s="257"/>
      <c r="T34" s="257"/>
    </row>
    <row r="35" spans="3:20" ht="22.2" customHeight="1" x14ac:dyDescent="0.3">
      <c r="C35" s="321"/>
      <c r="D35" s="260"/>
      <c r="E35" s="263" t="str">
        <f t="shared" si="0"/>
        <v/>
      </c>
      <c r="F35" s="104" t="b">
        <v>0</v>
      </c>
      <c r="G35" s="264"/>
      <c r="H35" s="265"/>
      <c r="I35" s="265"/>
      <c r="J35" s="266"/>
      <c r="K35" s="174"/>
      <c r="O35" s="276"/>
      <c r="P35" s="267"/>
      <c r="Q35" s="268"/>
      <c r="R35" s="268"/>
      <c r="S35" s="268"/>
      <c r="T35" s="257"/>
    </row>
    <row r="36" spans="3:20" ht="22.2" customHeight="1" x14ac:dyDescent="0.3">
      <c r="C36" s="321"/>
      <c r="D36" s="258" t="s">
        <v>55</v>
      </c>
      <c r="E36" s="261" t="s">
        <v>166</v>
      </c>
      <c r="F36" s="102" t="b">
        <v>0</v>
      </c>
      <c r="G36" s="200"/>
      <c r="H36" s="201"/>
      <c r="I36" s="201"/>
      <c r="J36" s="266">
        <v>0.1</v>
      </c>
      <c r="K36" s="174"/>
      <c r="O36" s="276"/>
      <c r="P36" s="267" t="s">
        <v>55</v>
      </c>
      <c r="Q36" s="256">
        <v>0.15</v>
      </c>
      <c r="R36" s="277" cm="1">
        <f t="array" ref="R36">IF(COUNTIF(F36:F40,FALSE)&gt;4,0,IF(AND(F36=TRUE,F33=FALSE),0.15,IF(AND(F37=TRUE,F33=FALSE),0.15,IF(AND(F38=TRUE,F33=FALSE),0.15,IF(OR(F36:F38=TRUE,F33=TRUE),0.03*COUNTIF(F36:F40,TRUE),IF(OR(F39:F40=TRUE,F33=TRUE),0.075*COUNTIF(F39:F40,TRUE)))))))</f>
        <v>0</v>
      </c>
      <c r="S36" s="256" t="str">
        <f>IFERROR(CJ$4,"")</f>
        <v/>
      </c>
      <c r="T36" s="257"/>
    </row>
    <row r="37" spans="3:20" ht="22.2" customHeight="1" x14ac:dyDescent="0.3">
      <c r="C37" s="321"/>
      <c r="D37" s="259"/>
      <c r="E37" s="262"/>
      <c r="F37" s="103" t="b">
        <v>0</v>
      </c>
      <c r="G37" s="203"/>
      <c r="H37" s="204"/>
      <c r="I37" s="204"/>
      <c r="J37" s="266"/>
      <c r="K37" s="174"/>
      <c r="O37" s="276"/>
      <c r="P37" s="267"/>
      <c r="Q37" s="257"/>
      <c r="R37" s="278"/>
      <c r="S37" s="257"/>
      <c r="T37" s="257"/>
    </row>
    <row r="38" spans="3:20" ht="22.2" customHeight="1" x14ac:dyDescent="0.3">
      <c r="C38" s="321"/>
      <c r="D38" s="259"/>
      <c r="E38" s="262"/>
      <c r="F38" s="103" t="b">
        <v>0</v>
      </c>
      <c r="G38" s="203"/>
      <c r="H38" s="204"/>
      <c r="I38" s="204"/>
      <c r="J38" s="266"/>
      <c r="K38" s="174"/>
      <c r="O38" s="276"/>
      <c r="P38" s="267"/>
      <c r="Q38" s="257"/>
      <c r="R38" s="278"/>
      <c r="S38" s="257"/>
      <c r="T38" s="257"/>
    </row>
    <row r="39" spans="3:20" ht="22.2" customHeight="1" x14ac:dyDescent="0.3">
      <c r="C39" s="321"/>
      <c r="D39" s="259"/>
      <c r="E39" s="262"/>
      <c r="F39" s="103" t="b">
        <v>0</v>
      </c>
      <c r="G39" s="203"/>
      <c r="H39" s="204"/>
      <c r="I39" s="204"/>
      <c r="J39" s="266"/>
      <c r="K39" s="174"/>
      <c r="O39" s="276"/>
      <c r="P39" s="267"/>
      <c r="Q39" s="257"/>
      <c r="R39" s="278"/>
      <c r="S39" s="257"/>
      <c r="T39" s="257"/>
    </row>
    <row r="40" spans="3:20" ht="22.2" customHeight="1" x14ac:dyDescent="0.3">
      <c r="C40" s="321"/>
      <c r="D40" s="260"/>
      <c r="E40" s="263"/>
      <c r="F40" s="104" t="b">
        <v>0</v>
      </c>
      <c r="G40" s="264"/>
      <c r="H40" s="265"/>
      <c r="I40" s="265"/>
      <c r="J40" s="266"/>
      <c r="K40" s="174"/>
      <c r="O40" s="276"/>
      <c r="P40" s="267"/>
      <c r="Q40" s="268"/>
      <c r="R40" s="279"/>
      <c r="S40" s="268"/>
      <c r="T40" s="257"/>
    </row>
    <row r="41" spans="3:20" ht="22.2" customHeight="1" x14ac:dyDescent="0.3">
      <c r="C41" s="321"/>
      <c r="D41" s="258" t="s">
        <v>56</v>
      </c>
      <c r="E41" s="261" t="s">
        <v>166</v>
      </c>
      <c r="F41" s="102" t="b">
        <v>0</v>
      </c>
      <c r="G41" s="200"/>
      <c r="H41" s="201"/>
      <c r="I41" s="201"/>
      <c r="J41" s="266">
        <v>0.05</v>
      </c>
      <c r="K41" s="174"/>
      <c r="O41" s="276"/>
      <c r="P41" s="267" t="s">
        <v>56</v>
      </c>
      <c r="Q41" s="256">
        <v>0.1</v>
      </c>
      <c r="R41" s="277" cm="1">
        <f t="array" ref="R41">IF(COUNTIF(F41:F43,FALSE)&gt;2,0,IF(AND(F33=FALSE,F41=TRUE),0.1,IF(AND(F33=FALSE,F42=TRUE),0.1,IF(AND(F33=FALSE,F43=TRUE),0.1,IF(OR(F33=TRUE,F41:F43=TRUE),0.0333*COUNTIF(F41:F43,TRUE))))))</f>
        <v>0</v>
      </c>
      <c r="S41" s="256" t="str">
        <f>IFERROR(CK$4,"")</f>
        <v/>
      </c>
      <c r="T41" s="257"/>
    </row>
    <row r="42" spans="3:20" ht="22.2" customHeight="1" x14ac:dyDescent="0.3">
      <c r="C42" s="321"/>
      <c r="D42" s="259"/>
      <c r="E42" s="262"/>
      <c r="F42" s="103" t="b">
        <v>0</v>
      </c>
      <c r="G42" s="203"/>
      <c r="H42" s="204"/>
      <c r="I42" s="204"/>
      <c r="J42" s="266"/>
      <c r="K42" s="174"/>
      <c r="O42" s="276"/>
      <c r="P42" s="267"/>
      <c r="Q42" s="257"/>
      <c r="R42" s="278"/>
      <c r="S42" s="257"/>
      <c r="T42" s="257"/>
    </row>
    <row r="43" spans="3:20" ht="22.2" customHeight="1" x14ac:dyDescent="0.3">
      <c r="C43" s="321"/>
      <c r="D43" s="259"/>
      <c r="E43" s="262"/>
      <c r="F43" s="103" t="b">
        <v>0</v>
      </c>
      <c r="G43" s="203"/>
      <c r="H43" s="204"/>
      <c r="I43" s="204"/>
      <c r="J43" s="266"/>
      <c r="K43" s="174"/>
      <c r="O43" s="276"/>
      <c r="P43" s="267"/>
      <c r="Q43" s="257"/>
      <c r="R43" s="279"/>
      <c r="S43" s="257"/>
      <c r="T43" s="257"/>
    </row>
    <row r="44" spans="3:20" ht="24" customHeight="1" x14ac:dyDescent="0.3">
      <c r="C44" s="197" t="s">
        <v>49</v>
      </c>
      <c r="D44" s="258" t="s">
        <v>57</v>
      </c>
      <c r="E44" s="261" t="s">
        <v>166</v>
      </c>
      <c r="F44" s="102" t="b">
        <v>0</v>
      </c>
      <c r="G44" s="200"/>
      <c r="H44" s="201"/>
      <c r="I44" s="201"/>
      <c r="J44" s="266">
        <v>0.05</v>
      </c>
      <c r="K44" s="174"/>
      <c r="O44" s="194" t="s">
        <v>49</v>
      </c>
      <c r="P44" s="258" t="s">
        <v>57</v>
      </c>
      <c r="Q44" s="256">
        <v>0.1</v>
      </c>
      <c r="R44" s="256" cm="1">
        <f t="array" ref="R44">IF(COUNTBLANK(F44:F51)&gt;7,0,
IF(AND(F44:F49=TRUE, F50:F51=FALSE),(0.0166667*COUNTIF(F44:F49,TRUE)),
                    IF(AND(F44:F49=FALSE, F50=TRUE),0.05,
                         IF(AND(F44:F49=FALSE, F51=TRUE),0.05,
                             IF(OR(F44:F49=TRUE), IF(OR(F50:F51=TRUE),0.05+(COUNTIF(F44:F49,TRUE) *0.008333),(0.0166667*COUNTIF(F44:F49,TRUE))),)
)
                         )
               )
      )</f>
        <v>0</v>
      </c>
      <c r="S44" s="256" t="str">
        <f>IFERROR(CL$4,"")</f>
        <v/>
      </c>
      <c r="T44" s="256" t="str">
        <f>IFERROR(CS$4,"")</f>
        <v/>
      </c>
    </row>
    <row r="45" spans="3:20" ht="24" customHeight="1" x14ac:dyDescent="0.3">
      <c r="C45" s="198"/>
      <c r="D45" s="269"/>
      <c r="E45" s="262"/>
      <c r="F45" s="103" t="b">
        <v>0</v>
      </c>
      <c r="G45" s="203"/>
      <c r="H45" s="204"/>
      <c r="I45" s="204"/>
      <c r="J45" s="266"/>
      <c r="K45" s="174"/>
      <c r="O45" s="195"/>
      <c r="P45" s="269"/>
      <c r="Q45" s="257"/>
      <c r="R45" s="257"/>
      <c r="S45" s="257"/>
      <c r="T45" s="257"/>
    </row>
    <row r="46" spans="3:20" ht="24" customHeight="1" x14ac:dyDescent="0.3">
      <c r="C46" s="198"/>
      <c r="D46" s="269"/>
      <c r="E46" s="262"/>
      <c r="F46" s="103" t="b">
        <v>0</v>
      </c>
      <c r="G46" s="203"/>
      <c r="H46" s="204"/>
      <c r="I46" s="204"/>
      <c r="J46" s="266"/>
      <c r="K46" s="174"/>
      <c r="O46" s="195"/>
      <c r="P46" s="269"/>
      <c r="Q46" s="257"/>
      <c r="R46" s="257"/>
      <c r="S46" s="257"/>
      <c r="T46" s="257"/>
    </row>
    <row r="47" spans="3:20" ht="24" customHeight="1" x14ac:dyDescent="0.3">
      <c r="C47" s="198"/>
      <c r="D47" s="269"/>
      <c r="E47" s="262"/>
      <c r="F47" s="103" t="b">
        <v>0</v>
      </c>
      <c r="G47" s="203"/>
      <c r="H47" s="204"/>
      <c r="I47" s="204"/>
      <c r="J47" s="266"/>
      <c r="K47" s="174"/>
      <c r="O47" s="195"/>
      <c r="P47" s="269"/>
      <c r="Q47" s="257"/>
      <c r="R47" s="257"/>
      <c r="S47" s="257"/>
      <c r="T47" s="257"/>
    </row>
    <row r="48" spans="3:20" ht="24" customHeight="1" x14ac:dyDescent="0.3">
      <c r="C48" s="198"/>
      <c r="D48" s="269"/>
      <c r="E48" s="262"/>
      <c r="F48" s="103" t="b">
        <v>0</v>
      </c>
      <c r="G48" s="203"/>
      <c r="H48" s="204"/>
      <c r="I48" s="204"/>
      <c r="J48" s="266"/>
      <c r="K48" s="174"/>
      <c r="O48" s="195"/>
      <c r="P48" s="269"/>
      <c r="Q48" s="257"/>
      <c r="R48" s="257"/>
      <c r="S48" s="257"/>
      <c r="T48" s="257"/>
    </row>
    <row r="49" spans="3:20" ht="24" customHeight="1" x14ac:dyDescent="0.3">
      <c r="C49" s="198"/>
      <c r="D49" s="269"/>
      <c r="E49" s="262"/>
      <c r="F49" s="103" t="b">
        <v>0</v>
      </c>
      <c r="G49" s="203"/>
      <c r="H49" s="204"/>
      <c r="I49" s="204"/>
      <c r="J49" s="266"/>
      <c r="K49" s="174"/>
      <c r="O49" s="195"/>
      <c r="P49" s="269"/>
      <c r="Q49" s="257"/>
      <c r="R49" s="257"/>
      <c r="S49" s="257"/>
      <c r="T49" s="257"/>
    </row>
    <row r="50" spans="3:20" ht="24" customHeight="1" x14ac:dyDescent="0.3">
      <c r="C50" s="198"/>
      <c r="D50" s="269"/>
      <c r="E50" s="262"/>
      <c r="F50" s="103" t="b">
        <v>0</v>
      </c>
      <c r="G50" s="203"/>
      <c r="H50" s="204"/>
      <c r="I50" s="204"/>
      <c r="J50" s="266"/>
      <c r="K50" s="174"/>
      <c r="O50" s="195"/>
      <c r="P50" s="269"/>
      <c r="Q50" s="257"/>
      <c r="R50" s="257"/>
      <c r="S50" s="257"/>
      <c r="T50" s="257"/>
    </row>
    <row r="51" spans="3:20" ht="24" customHeight="1" x14ac:dyDescent="0.3">
      <c r="C51" s="198"/>
      <c r="D51" s="270"/>
      <c r="E51" s="263"/>
      <c r="F51" s="104" t="b">
        <v>0</v>
      </c>
      <c r="G51" s="264"/>
      <c r="H51" s="265"/>
      <c r="I51" s="265"/>
      <c r="J51" s="266"/>
      <c r="K51" s="174"/>
      <c r="O51" s="195"/>
      <c r="P51" s="270"/>
      <c r="Q51" s="268"/>
      <c r="R51" s="268"/>
      <c r="S51" s="268"/>
      <c r="T51" s="257"/>
    </row>
    <row r="52" spans="3:20" ht="30" customHeight="1" x14ac:dyDescent="0.3">
      <c r="C52" s="198"/>
      <c r="D52" s="258" t="s">
        <v>58</v>
      </c>
      <c r="E52" s="330" t="s">
        <v>166</v>
      </c>
      <c r="F52" s="105" t="b">
        <v>0</v>
      </c>
      <c r="G52" s="287"/>
      <c r="H52" s="288"/>
      <c r="I52" s="289"/>
      <c r="J52" s="285">
        <v>0.05</v>
      </c>
      <c r="K52" s="174"/>
      <c r="O52" s="195"/>
      <c r="P52" s="280" t="s">
        <v>58</v>
      </c>
      <c r="Q52" s="256">
        <v>0.05</v>
      </c>
      <c r="R52" s="87">
        <f>IF(F52=TRUE,($Q$52/2),IF(F52=FALSE,0,""))</f>
        <v>0</v>
      </c>
      <c r="S52" s="256" t="str">
        <f>IFERROR(CM$4,"")</f>
        <v/>
      </c>
      <c r="T52" s="257"/>
    </row>
    <row r="53" spans="3:20" ht="30" customHeight="1" x14ac:dyDescent="0.3">
      <c r="C53" s="198"/>
      <c r="D53" s="269"/>
      <c r="E53" s="332"/>
      <c r="F53" s="178" t="b">
        <v>0</v>
      </c>
      <c r="G53" s="290"/>
      <c r="H53" s="291"/>
      <c r="I53" s="292"/>
      <c r="J53" s="273"/>
      <c r="K53" s="174"/>
      <c r="O53" s="196"/>
      <c r="P53" s="260"/>
      <c r="Q53" s="268"/>
      <c r="R53" s="87">
        <f>IF(F53=TRUE,($Q$52/2),IF(F53=FALSE,0,""))</f>
        <v>0</v>
      </c>
      <c r="S53" s="268"/>
      <c r="T53" s="268"/>
    </row>
    <row r="54" spans="3:20" ht="30" customHeight="1" x14ac:dyDescent="0.3">
      <c r="C54" s="198"/>
      <c r="D54" s="269"/>
      <c r="E54" s="332"/>
      <c r="F54" s="180" t="b">
        <v>0</v>
      </c>
      <c r="G54" s="290"/>
      <c r="H54" s="291"/>
      <c r="I54" s="292"/>
      <c r="J54" s="273"/>
      <c r="K54" s="174"/>
      <c r="O54" s="194" t="s">
        <v>50</v>
      </c>
      <c r="P54" s="128" t="s">
        <v>59</v>
      </c>
      <c r="Q54" s="87">
        <v>0.05</v>
      </c>
      <c r="R54" s="87">
        <f>IF(F57=TRUE,$Q$54,IF(F57=FALSE,0,""))</f>
        <v>0</v>
      </c>
      <c r="S54" s="87" t="str">
        <f>IFERROR(CN$4,"")</f>
        <v/>
      </c>
      <c r="T54" s="256" t="str">
        <f>IFERROR(CT$4,"")</f>
        <v/>
      </c>
    </row>
    <row r="55" spans="3:20" ht="43.5" customHeight="1" x14ac:dyDescent="0.3">
      <c r="C55" s="239"/>
      <c r="D55" s="270"/>
      <c r="E55" s="331"/>
      <c r="F55" s="179"/>
      <c r="G55" s="290"/>
      <c r="H55" s="291"/>
      <c r="I55" s="292"/>
      <c r="J55" s="286"/>
      <c r="K55" s="174"/>
      <c r="O55" s="195"/>
      <c r="P55" s="280" t="s">
        <v>60</v>
      </c>
      <c r="Q55" s="256">
        <v>0.15</v>
      </c>
      <c r="R55" s="87" cm="1">
        <f t="array" ref="R55:R60">IF(OR(F58:F63=TRUE),$Q$55,IF(F58:F63=FALSE,0,""))</f>
        <v>0</v>
      </c>
      <c r="S55" s="256" t="str">
        <f>IFERROR(CO$4,"")</f>
        <v/>
      </c>
      <c r="T55" s="257"/>
    </row>
    <row r="56" spans="3:20" ht="41.25" customHeight="1" x14ac:dyDescent="0.3">
      <c r="C56" s="197" t="s">
        <v>50</v>
      </c>
      <c r="D56" s="128" t="s">
        <v>299</v>
      </c>
      <c r="E56" s="130" t="s">
        <v>166</v>
      </c>
      <c r="F56" s="62" t="b">
        <v>0</v>
      </c>
      <c r="G56" s="299"/>
      <c r="H56" s="300"/>
      <c r="I56" s="301"/>
      <c r="J56" s="132">
        <v>0.05</v>
      </c>
      <c r="K56" s="174"/>
      <c r="O56" s="195"/>
      <c r="P56" s="260"/>
      <c r="Q56" s="257"/>
      <c r="R56" s="87">
        <v>0</v>
      </c>
      <c r="S56" s="257"/>
      <c r="T56" s="257"/>
    </row>
    <row r="57" spans="3:20" ht="42" customHeight="1" x14ac:dyDescent="0.3">
      <c r="C57" s="198"/>
      <c r="D57" s="128" t="s">
        <v>300</v>
      </c>
      <c r="E57" s="130" t="s">
        <v>166</v>
      </c>
      <c r="F57" s="104" t="b">
        <v>0</v>
      </c>
      <c r="G57" s="293"/>
      <c r="H57" s="294"/>
      <c r="I57" s="295"/>
      <c r="J57" s="132">
        <v>0.05</v>
      </c>
      <c r="K57" s="174"/>
      <c r="O57" s="195"/>
      <c r="P57" s="128" t="s">
        <v>61</v>
      </c>
      <c r="Q57" s="257"/>
      <c r="R57" s="87">
        <v>0</v>
      </c>
      <c r="S57" s="257"/>
      <c r="T57" s="257"/>
    </row>
    <row r="58" spans="3:20" ht="24.6" customHeight="1" x14ac:dyDescent="0.3">
      <c r="C58" s="198"/>
      <c r="D58" s="280" t="s">
        <v>60</v>
      </c>
      <c r="E58" s="330" t="s">
        <v>166</v>
      </c>
      <c r="F58" s="102" t="b">
        <v>0</v>
      </c>
      <c r="G58" s="200"/>
      <c r="H58" s="201"/>
      <c r="I58" s="202"/>
      <c r="J58" s="285">
        <v>0.1</v>
      </c>
      <c r="K58" s="174"/>
      <c r="O58" s="195"/>
      <c r="P58" s="131" t="s">
        <v>62</v>
      </c>
      <c r="Q58" s="257"/>
      <c r="R58" s="87">
        <v>0</v>
      </c>
      <c r="S58" s="257"/>
      <c r="T58" s="257"/>
    </row>
    <row r="59" spans="3:20" ht="21" customHeight="1" x14ac:dyDescent="0.3">
      <c r="C59" s="198"/>
      <c r="D59" s="260"/>
      <c r="E59" s="331"/>
      <c r="F59" s="181" t="b">
        <v>0</v>
      </c>
      <c r="G59" s="203"/>
      <c r="H59" s="204"/>
      <c r="I59" s="205"/>
      <c r="J59" s="273"/>
      <c r="K59" s="174"/>
      <c r="O59" s="195"/>
      <c r="P59" s="131" t="s">
        <v>63</v>
      </c>
      <c r="Q59" s="257"/>
      <c r="R59" s="87">
        <v>0</v>
      </c>
      <c r="S59" s="257"/>
      <c r="T59" s="257"/>
    </row>
    <row r="60" spans="3:20" ht="27" customHeight="1" x14ac:dyDescent="0.3">
      <c r="C60" s="198"/>
      <c r="D60" s="128" t="s">
        <v>61</v>
      </c>
      <c r="E60" s="130" t="s">
        <v>166</v>
      </c>
      <c r="F60" s="62" t="b">
        <v>0</v>
      </c>
      <c r="G60" s="206"/>
      <c r="H60" s="207"/>
      <c r="I60" s="208"/>
      <c r="J60" s="273"/>
      <c r="K60" s="174"/>
      <c r="O60" s="196"/>
      <c r="P60" s="131" t="s">
        <v>64</v>
      </c>
      <c r="Q60" s="268"/>
      <c r="R60" s="87">
        <v>0</v>
      </c>
      <c r="S60" s="268"/>
      <c r="T60" s="268"/>
    </row>
    <row r="61" spans="3:20" ht="26.55" customHeight="1" x14ac:dyDescent="0.3">
      <c r="C61" s="198"/>
      <c r="D61" s="131" t="s">
        <v>62</v>
      </c>
      <c r="E61" s="64" t="s">
        <v>166</v>
      </c>
      <c r="F61" s="105" t="b">
        <v>0</v>
      </c>
      <c r="G61" s="206"/>
      <c r="H61" s="207"/>
      <c r="I61" s="208"/>
      <c r="J61" s="273"/>
      <c r="K61" s="174"/>
      <c r="O61" s="44" t="s">
        <v>135</v>
      </c>
      <c r="P61" s="133" t="s">
        <v>51</v>
      </c>
      <c r="Q61" s="87">
        <v>1</v>
      </c>
      <c r="R61" s="87">
        <f>IF(E72="Not Met",Q61,0)</f>
        <v>0</v>
      </c>
      <c r="S61" s="87" t="str">
        <f>IFERROR(CP$4,"")</f>
        <v/>
      </c>
      <c r="T61" s="87" t="str">
        <f>IFERROR(CU$4,"")</f>
        <v/>
      </c>
    </row>
    <row r="62" spans="3:20" ht="28.5" customHeight="1" x14ac:dyDescent="0.3">
      <c r="C62" s="198"/>
      <c r="D62" s="131" t="s">
        <v>63</v>
      </c>
      <c r="E62" s="64" t="s">
        <v>166</v>
      </c>
      <c r="F62" s="105" t="b">
        <v>0</v>
      </c>
      <c r="G62" s="206"/>
      <c r="H62" s="207"/>
      <c r="I62" s="208"/>
      <c r="J62" s="273"/>
      <c r="K62" s="174"/>
      <c r="O62" s="284" t="s">
        <v>136</v>
      </c>
      <c r="P62" s="284"/>
      <c r="Q62" s="90">
        <f>SUM($Q$27:$Q$60)</f>
        <v>1</v>
      </c>
      <c r="R62" s="90">
        <f>Q62-SUM($R$27:$R$55)</f>
        <v>1</v>
      </c>
      <c r="S62" s="90">
        <f>Q62-SUM($S$27:$S$60)</f>
        <v>1</v>
      </c>
      <c r="T62" s="90" t="e">
        <f>SUM($T$27:$T$60)-T61</f>
        <v>#VALUE!</v>
      </c>
    </row>
    <row r="63" spans="3:20" ht="31.5" customHeight="1" x14ac:dyDescent="0.3">
      <c r="C63" s="199"/>
      <c r="D63" s="131" t="s">
        <v>64</v>
      </c>
      <c r="E63" s="64" t="s">
        <v>166</v>
      </c>
      <c r="F63" s="105" t="b">
        <v>0</v>
      </c>
      <c r="G63" s="209"/>
      <c r="H63" s="210"/>
      <c r="I63" s="211"/>
      <c r="J63" s="286"/>
      <c r="K63" s="174"/>
    </row>
    <row r="64" spans="3:20" ht="24" customHeight="1" x14ac:dyDescent="0.3">
      <c r="C64" s="296" t="s">
        <v>9</v>
      </c>
      <c r="D64" s="302" t="s">
        <v>303</v>
      </c>
      <c r="E64" s="305" t="s">
        <v>166</v>
      </c>
      <c r="F64" s="169" t="b">
        <v>0</v>
      </c>
      <c r="G64" s="308"/>
      <c r="H64" s="309"/>
      <c r="I64" s="310"/>
      <c r="J64" s="317">
        <v>0.1</v>
      </c>
      <c r="K64" s="174"/>
    </row>
    <row r="65" spans="3:17" ht="23.25" customHeight="1" x14ac:dyDescent="0.3">
      <c r="C65" s="297"/>
      <c r="D65" s="303"/>
      <c r="E65" s="306"/>
      <c r="F65" s="170" t="b">
        <v>0</v>
      </c>
      <c r="G65" s="311"/>
      <c r="H65" s="312"/>
      <c r="I65" s="313"/>
      <c r="J65" s="318"/>
      <c r="K65" s="174"/>
    </row>
    <row r="66" spans="3:17" ht="18.75" customHeight="1" x14ac:dyDescent="0.3">
      <c r="C66" s="297"/>
      <c r="D66" s="304"/>
      <c r="E66" s="307"/>
      <c r="F66" s="171" t="b">
        <v>0</v>
      </c>
      <c r="G66" s="314"/>
      <c r="H66" s="315"/>
      <c r="I66" s="316"/>
      <c r="J66" s="319"/>
      <c r="K66" s="174"/>
    </row>
    <row r="67" spans="3:17" ht="23.25" customHeight="1" x14ac:dyDescent="0.3">
      <c r="C67" s="297"/>
      <c r="D67" s="302" t="s">
        <v>16</v>
      </c>
      <c r="E67" s="305" t="s">
        <v>166</v>
      </c>
      <c r="F67" s="169" t="b">
        <v>0</v>
      </c>
      <c r="G67" s="308"/>
      <c r="H67" s="309"/>
      <c r="I67" s="310"/>
      <c r="J67" s="317">
        <v>0.05</v>
      </c>
      <c r="K67" s="174"/>
    </row>
    <row r="68" spans="3:17" ht="23.25" customHeight="1" x14ac:dyDescent="0.3">
      <c r="C68" s="297"/>
      <c r="D68" s="304"/>
      <c r="E68" s="307"/>
      <c r="F68" s="171" t="b">
        <v>0</v>
      </c>
      <c r="G68" s="314"/>
      <c r="H68" s="315"/>
      <c r="I68" s="316"/>
      <c r="J68" s="319"/>
      <c r="K68" s="174"/>
    </row>
    <row r="69" spans="3:17" ht="24.6" customHeight="1" x14ac:dyDescent="0.3">
      <c r="C69" s="297"/>
      <c r="D69" s="302" t="s">
        <v>304</v>
      </c>
      <c r="E69" s="305" t="s">
        <v>166</v>
      </c>
      <c r="F69" s="169" t="b">
        <v>0</v>
      </c>
      <c r="G69" s="308"/>
      <c r="H69" s="309"/>
      <c r="I69" s="310"/>
      <c r="J69" s="317">
        <v>0.1</v>
      </c>
      <c r="K69" s="174"/>
    </row>
    <row r="70" spans="3:17" ht="27" customHeight="1" x14ac:dyDescent="0.3">
      <c r="C70" s="297"/>
      <c r="D70" s="303"/>
      <c r="E70" s="306"/>
      <c r="F70" s="170" t="b">
        <v>0</v>
      </c>
      <c r="G70" s="311"/>
      <c r="H70" s="312"/>
      <c r="I70" s="313"/>
      <c r="J70" s="318"/>
      <c r="K70" s="174"/>
    </row>
    <row r="71" spans="3:17" ht="25.05" customHeight="1" x14ac:dyDescent="0.3">
      <c r="C71" s="298"/>
      <c r="D71" s="304"/>
      <c r="E71" s="307"/>
      <c r="F71" s="171" t="b">
        <v>0</v>
      </c>
      <c r="G71" s="314"/>
      <c r="H71" s="315"/>
      <c r="I71" s="316"/>
      <c r="J71" s="319"/>
      <c r="K71" s="174"/>
    </row>
    <row r="72" spans="3:17" ht="64.5" customHeight="1" thickBot="1" x14ac:dyDescent="0.35">
      <c r="C72" s="59" t="s">
        <v>135</v>
      </c>
      <c r="D72" s="42" t="s">
        <v>51</v>
      </c>
      <c r="E72" s="65" t="s">
        <v>166</v>
      </c>
      <c r="F72" s="183" t="b">
        <v>0</v>
      </c>
      <c r="G72" s="281"/>
      <c r="H72" s="282"/>
      <c r="I72" s="283"/>
      <c r="J72" s="60" t="s">
        <v>305</v>
      </c>
      <c r="K72" s="174"/>
    </row>
    <row r="73" spans="3:17" ht="13.2" customHeight="1" x14ac:dyDescent="0.3">
      <c r="C73" s="174"/>
      <c r="D73" s="174"/>
      <c r="E73" s="174"/>
      <c r="F73" s="174"/>
      <c r="G73" s="174"/>
      <c r="H73" s="174"/>
      <c r="I73" s="174"/>
      <c r="J73" s="174"/>
      <c r="K73" s="174"/>
    </row>
    <row r="74" spans="3:17" ht="15" customHeight="1" x14ac:dyDescent="0.3">
      <c r="O74" s="31"/>
      <c r="P74" s="31"/>
      <c r="Q74" s="31"/>
    </row>
    <row r="75" spans="3:17" ht="15" customHeight="1" x14ac:dyDescent="0.3">
      <c r="K75" s="31"/>
      <c r="L75" s="31"/>
      <c r="M75" s="31"/>
      <c r="N75" s="31"/>
    </row>
    <row r="76" spans="3:17" ht="15" customHeight="1" x14ac:dyDescent="0.3"/>
    <row r="77" spans="3:17" ht="15" customHeight="1" x14ac:dyDescent="0.3">
      <c r="C77" s="31"/>
      <c r="D77" s="31"/>
      <c r="E77" s="31"/>
      <c r="F77" s="31"/>
      <c r="G77" s="31"/>
      <c r="H77" s="31"/>
      <c r="I77" s="31"/>
      <c r="J77" s="31"/>
    </row>
    <row r="78" spans="3:17" ht="15" customHeight="1" x14ac:dyDescent="0.3"/>
    <row r="564" spans="10:10" ht="15" hidden="1" customHeight="1" x14ac:dyDescent="0.3">
      <c r="J564" s="177">
        <v>6.6666666666666693E-2</v>
      </c>
    </row>
  </sheetData>
  <sheetProtection sheet="1" objects="1" scenarios="1" selectLockedCells="1" selectUnlockedCells="1"/>
  <mergeCells count="134">
    <mergeCell ref="C33:C43"/>
    <mergeCell ref="C25:J25"/>
    <mergeCell ref="C26:D26"/>
    <mergeCell ref="G26:I26"/>
    <mergeCell ref="C44:C55"/>
    <mergeCell ref="E58:E59"/>
    <mergeCell ref="D58:D59"/>
    <mergeCell ref="D52:D55"/>
    <mergeCell ref="E52:E55"/>
    <mergeCell ref="D44:D51"/>
    <mergeCell ref="E44:E51"/>
    <mergeCell ref="G29:I32"/>
    <mergeCell ref="J29:J32"/>
    <mergeCell ref="C64:C71"/>
    <mergeCell ref="G56:I56"/>
    <mergeCell ref="D64:D66"/>
    <mergeCell ref="E64:E66"/>
    <mergeCell ref="G64:I66"/>
    <mergeCell ref="J64:J66"/>
    <mergeCell ref="D67:D68"/>
    <mergeCell ref="E67:E68"/>
    <mergeCell ref="G67:I68"/>
    <mergeCell ref="J67:J68"/>
    <mergeCell ref="D69:D71"/>
    <mergeCell ref="E69:E71"/>
    <mergeCell ref="G69:I71"/>
    <mergeCell ref="J69:J71"/>
    <mergeCell ref="P44:P51"/>
    <mergeCell ref="Q44:Q51"/>
    <mergeCell ref="S44:S51"/>
    <mergeCell ref="P52:P53"/>
    <mergeCell ref="R44:R51"/>
    <mergeCell ref="G72:I72"/>
    <mergeCell ref="O62:P62"/>
    <mergeCell ref="T44:T53"/>
    <mergeCell ref="Q52:Q53"/>
    <mergeCell ref="S52:S53"/>
    <mergeCell ref="P55:P56"/>
    <mergeCell ref="Q55:Q60"/>
    <mergeCell ref="S55:S60"/>
    <mergeCell ref="T54:T60"/>
    <mergeCell ref="J58:J63"/>
    <mergeCell ref="O54:O60"/>
    <mergeCell ref="G52:I52"/>
    <mergeCell ref="G53:I53"/>
    <mergeCell ref="G54:I54"/>
    <mergeCell ref="G55:I55"/>
    <mergeCell ref="G57:I57"/>
    <mergeCell ref="J52:J55"/>
    <mergeCell ref="G44:I51"/>
    <mergeCell ref="J44:J51"/>
    <mergeCell ref="P41:P43"/>
    <mergeCell ref="Q41:Q43"/>
    <mergeCell ref="S41:S43"/>
    <mergeCell ref="D33:D35"/>
    <mergeCell ref="E33:E35"/>
    <mergeCell ref="G33:I35"/>
    <mergeCell ref="J33:J35"/>
    <mergeCell ref="O33:O43"/>
    <mergeCell ref="P33:P35"/>
    <mergeCell ref="Q33:Q35"/>
    <mergeCell ref="S33:S35"/>
    <mergeCell ref="R33:R35"/>
    <mergeCell ref="R36:R40"/>
    <mergeCell ref="R41:R43"/>
    <mergeCell ref="P29:P32"/>
    <mergeCell ref="Q29:Q32"/>
    <mergeCell ref="S29:S32"/>
    <mergeCell ref="D27:D28"/>
    <mergeCell ref="E27:E28"/>
    <mergeCell ref="G27:I28"/>
    <mergeCell ref="J27:J28"/>
    <mergeCell ref="O27:O32"/>
    <mergeCell ref="P27:P28"/>
    <mergeCell ref="G19:H19"/>
    <mergeCell ref="G21:H21"/>
    <mergeCell ref="I21:J21"/>
    <mergeCell ref="AG1:BO1"/>
    <mergeCell ref="BP1:CF1"/>
    <mergeCell ref="AG2:AH2"/>
    <mergeCell ref="AI2:AL2"/>
    <mergeCell ref="T33:T43"/>
    <mergeCell ref="D36:D40"/>
    <mergeCell ref="E36:E40"/>
    <mergeCell ref="G36:I40"/>
    <mergeCell ref="J36:J40"/>
    <mergeCell ref="P36:P40"/>
    <mergeCell ref="Q36:Q40"/>
    <mergeCell ref="S36:S40"/>
    <mergeCell ref="D41:D43"/>
    <mergeCell ref="E41:E43"/>
    <mergeCell ref="G41:I43"/>
    <mergeCell ref="J41:J43"/>
    <mergeCell ref="Q27:Q28"/>
    <mergeCell ref="S27:S28"/>
    <mergeCell ref="T27:T32"/>
    <mergeCell ref="D29:D32"/>
    <mergeCell ref="E29:E32"/>
    <mergeCell ref="CG1:CP1"/>
    <mergeCell ref="CQ1:CU1"/>
    <mergeCell ref="BI2:BJ2"/>
    <mergeCell ref="BP2:BQ2"/>
    <mergeCell ref="BR2:BT2"/>
    <mergeCell ref="BU2:BY2"/>
    <mergeCell ref="BZ2:CE2"/>
    <mergeCell ref="AM2:AO2"/>
    <mergeCell ref="AP2:AT2"/>
    <mergeCell ref="AU2:AW2"/>
    <mergeCell ref="AX2:BE2"/>
    <mergeCell ref="BF2:BG2"/>
    <mergeCell ref="O44:O53"/>
    <mergeCell ref="C56:C63"/>
    <mergeCell ref="G58:I63"/>
    <mergeCell ref="M1:R1"/>
    <mergeCell ref="S1:AF1"/>
    <mergeCell ref="M2:R2"/>
    <mergeCell ref="S2:T2"/>
    <mergeCell ref="U2:W2"/>
    <mergeCell ref="X2:Y2"/>
    <mergeCell ref="Z2:AE2"/>
    <mergeCell ref="G9:H9"/>
    <mergeCell ref="G10:H10"/>
    <mergeCell ref="G11:H11"/>
    <mergeCell ref="G14:H14"/>
    <mergeCell ref="G15:H15"/>
    <mergeCell ref="G16:H16"/>
    <mergeCell ref="C6:H7"/>
    <mergeCell ref="I6:J7"/>
    <mergeCell ref="O26:P26"/>
    <mergeCell ref="C27:C32"/>
    <mergeCell ref="G17:H17"/>
    <mergeCell ref="C18:C21"/>
    <mergeCell ref="D18:D21"/>
    <mergeCell ref="G18:H18"/>
  </mergeCells>
  <conditionalFormatting sqref="G21:H21">
    <cfRule type="cellIs" dxfId="125" priority="1" operator="between">
      <formula>0</formula>
      <formula>0.5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8" r:id="rId4" name="Check Box 4">
              <controlPr defaultSize="0" autoFill="0" autoLine="0" autoPict="0">
                <anchor moveWithCells="1">
                  <from>
                    <xdr:col>5</xdr:col>
                    <xdr:colOff>15240</xdr:colOff>
                    <xdr:row>26</xdr:row>
                    <xdr:rowOff>15240</xdr:rowOff>
                  </from>
                  <to>
                    <xdr:col>5</xdr:col>
                    <xdr:colOff>2758440</xdr:colOff>
                    <xdr:row>27</xdr:row>
                    <xdr:rowOff>60960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5</xdr:col>
                    <xdr:colOff>22860</xdr:colOff>
                    <xdr:row>27</xdr:row>
                    <xdr:rowOff>22860</xdr:rowOff>
                  </from>
                  <to>
                    <xdr:col>5</xdr:col>
                    <xdr:colOff>2766060</xdr:colOff>
                    <xdr:row>27</xdr:row>
                    <xdr:rowOff>327660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5</xdr:col>
                    <xdr:colOff>15240</xdr:colOff>
                    <xdr:row>28</xdr:row>
                    <xdr:rowOff>15240</xdr:rowOff>
                  </from>
                  <to>
                    <xdr:col>5</xdr:col>
                    <xdr:colOff>2758440</xdr:colOff>
                    <xdr:row>29</xdr:row>
                    <xdr:rowOff>60960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5</xdr:col>
                    <xdr:colOff>15240</xdr:colOff>
                    <xdr:row>29</xdr:row>
                    <xdr:rowOff>15240</xdr:rowOff>
                  </from>
                  <to>
                    <xdr:col>5</xdr:col>
                    <xdr:colOff>2758440</xdr:colOff>
                    <xdr:row>30</xdr:row>
                    <xdr:rowOff>60960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5</xdr:col>
                    <xdr:colOff>15240</xdr:colOff>
                    <xdr:row>30</xdr:row>
                    <xdr:rowOff>15240</xdr:rowOff>
                  </from>
                  <to>
                    <xdr:col>5</xdr:col>
                    <xdr:colOff>2758440</xdr:colOff>
                    <xdr:row>31</xdr:row>
                    <xdr:rowOff>60960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5</xdr:col>
                    <xdr:colOff>15240</xdr:colOff>
                    <xdr:row>31</xdr:row>
                    <xdr:rowOff>15240</xdr:rowOff>
                  </from>
                  <to>
                    <xdr:col>5</xdr:col>
                    <xdr:colOff>2758440</xdr:colOff>
                    <xdr:row>32</xdr:row>
                    <xdr:rowOff>60960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5</xdr:col>
                    <xdr:colOff>22860</xdr:colOff>
                    <xdr:row>32</xdr:row>
                    <xdr:rowOff>0</xdr:rowOff>
                  </from>
                  <to>
                    <xdr:col>5</xdr:col>
                    <xdr:colOff>2766060</xdr:colOff>
                    <xdr:row>33</xdr:row>
                    <xdr:rowOff>60960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5</xdr:col>
                    <xdr:colOff>22860</xdr:colOff>
                    <xdr:row>34</xdr:row>
                    <xdr:rowOff>0</xdr:rowOff>
                  </from>
                  <to>
                    <xdr:col>5</xdr:col>
                    <xdr:colOff>2766060</xdr:colOff>
                    <xdr:row>35</xdr:row>
                    <xdr:rowOff>60960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5</xdr:col>
                    <xdr:colOff>15240</xdr:colOff>
                    <xdr:row>40</xdr:row>
                    <xdr:rowOff>0</xdr:rowOff>
                  </from>
                  <to>
                    <xdr:col>5</xdr:col>
                    <xdr:colOff>2758440</xdr:colOff>
                    <xdr:row>41</xdr:row>
                    <xdr:rowOff>60960</xdr:rowOff>
                  </to>
                </anchor>
              </controlPr>
            </control>
          </mc:Choice>
        </mc:AlternateContent>
        <mc:AlternateContent xmlns:mc="http://schemas.openxmlformats.org/markup-compatibility/2006">
          <mc:Choice Requires="x14">
            <control shapeId="6158" r:id="rId13" name="Check Box 14">
              <controlPr defaultSize="0" autoFill="0" autoLine="0" autoPict="0">
                <anchor moveWithCells="1">
                  <from>
                    <xdr:col>5</xdr:col>
                    <xdr:colOff>15240</xdr:colOff>
                    <xdr:row>41</xdr:row>
                    <xdr:rowOff>0</xdr:rowOff>
                  </from>
                  <to>
                    <xdr:col>5</xdr:col>
                    <xdr:colOff>2758440</xdr:colOff>
                    <xdr:row>42</xdr:row>
                    <xdr:rowOff>60960</xdr:rowOff>
                  </to>
                </anchor>
              </controlPr>
            </control>
          </mc:Choice>
        </mc:AlternateContent>
        <mc:AlternateContent xmlns:mc="http://schemas.openxmlformats.org/markup-compatibility/2006">
          <mc:Choice Requires="x14">
            <control shapeId="6159" r:id="rId14" name="Check Box 15">
              <controlPr defaultSize="0" autoFill="0" autoLine="0" autoPict="0">
                <anchor moveWithCells="1">
                  <from>
                    <xdr:col>5</xdr:col>
                    <xdr:colOff>15240</xdr:colOff>
                    <xdr:row>42</xdr:row>
                    <xdr:rowOff>0</xdr:rowOff>
                  </from>
                  <to>
                    <xdr:col>5</xdr:col>
                    <xdr:colOff>2758440</xdr:colOff>
                    <xdr:row>43</xdr:row>
                    <xdr:rowOff>60960</xdr:rowOff>
                  </to>
                </anchor>
              </controlPr>
            </control>
          </mc:Choice>
        </mc:AlternateContent>
        <mc:AlternateContent xmlns:mc="http://schemas.openxmlformats.org/markup-compatibility/2006">
          <mc:Choice Requires="x14">
            <control shapeId="6161" r:id="rId15" name="Check Box 17">
              <controlPr defaultSize="0" autoFill="0" autoLine="0" autoPict="0">
                <anchor moveWithCells="1">
                  <from>
                    <xdr:col>5</xdr:col>
                    <xdr:colOff>22860</xdr:colOff>
                    <xdr:row>35</xdr:row>
                    <xdr:rowOff>0</xdr:rowOff>
                  </from>
                  <to>
                    <xdr:col>5</xdr:col>
                    <xdr:colOff>2766060</xdr:colOff>
                    <xdr:row>36</xdr:row>
                    <xdr:rowOff>60960</xdr:rowOff>
                  </to>
                </anchor>
              </controlPr>
            </control>
          </mc:Choice>
        </mc:AlternateContent>
        <mc:AlternateContent xmlns:mc="http://schemas.openxmlformats.org/markup-compatibility/2006">
          <mc:Choice Requires="x14">
            <control shapeId="6162" r:id="rId16" name="Check Box 18">
              <controlPr defaultSize="0" autoFill="0" autoLine="0" autoPict="0">
                <anchor moveWithCells="1">
                  <from>
                    <xdr:col>5</xdr:col>
                    <xdr:colOff>22860</xdr:colOff>
                    <xdr:row>36</xdr:row>
                    <xdr:rowOff>0</xdr:rowOff>
                  </from>
                  <to>
                    <xdr:col>5</xdr:col>
                    <xdr:colOff>2766060</xdr:colOff>
                    <xdr:row>37</xdr:row>
                    <xdr:rowOff>60960</xdr:rowOff>
                  </to>
                </anchor>
              </controlPr>
            </control>
          </mc:Choice>
        </mc:AlternateContent>
        <mc:AlternateContent xmlns:mc="http://schemas.openxmlformats.org/markup-compatibility/2006">
          <mc:Choice Requires="x14">
            <control shapeId="6163" r:id="rId17" name="Check Box 19">
              <controlPr defaultSize="0" autoFill="0" autoLine="0" autoPict="0">
                <anchor moveWithCells="1">
                  <from>
                    <xdr:col>5</xdr:col>
                    <xdr:colOff>22860</xdr:colOff>
                    <xdr:row>37</xdr:row>
                    <xdr:rowOff>0</xdr:rowOff>
                  </from>
                  <to>
                    <xdr:col>5</xdr:col>
                    <xdr:colOff>2766060</xdr:colOff>
                    <xdr:row>38</xdr:row>
                    <xdr:rowOff>60960</xdr:rowOff>
                  </to>
                </anchor>
              </controlPr>
            </control>
          </mc:Choice>
        </mc:AlternateContent>
        <mc:AlternateContent xmlns:mc="http://schemas.openxmlformats.org/markup-compatibility/2006">
          <mc:Choice Requires="x14">
            <control shapeId="6164" r:id="rId18" name="Check Box 20">
              <controlPr defaultSize="0" autoFill="0" autoLine="0" autoPict="0">
                <anchor moveWithCells="1">
                  <from>
                    <xdr:col>5</xdr:col>
                    <xdr:colOff>22860</xdr:colOff>
                    <xdr:row>37</xdr:row>
                    <xdr:rowOff>259080</xdr:rowOff>
                  </from>
                  <to>
                    <xdr:col>5</xdr:col>
                    <xdr:colOff>2766060</xdr:colOff>
                    <xdr:row>39</xdr:row>
                    <xdr:rowOff>30480</xdr:rowOff>
                  </to>
                </anchor>
              </controlPr>
            </control>
          </mc:Choice>
        </mc:AlternateContent>
        <mc:AlternateContent xmlns:mc="http://schemas.openxmlformats.org/markup-compatibility/2006">
          <mc:Choice Requires="x14">
            <control shapeId="6165" r:id="rId19" name="Check Box 21">
              <controlPr defaultSize="0" autoFill="0" autoLine="0" autoPict="0">
                <anchor moveWithCells="1">
                  <from>
                    <xdr:col>5</xdr:col>
                    <xdr:colOff>0</xdr:colOff>
                    <xdr:row>43</xdr:row>
                    <xdr:rowOff>22860</xdr:rowOff>
                  </from>
                  <to>
                    <xdr:col>5</xdr:col>
                    <xdr:colOff>2743200</xdr:colOff>
                    <xdr:row>44</xdr:row>
                    <xdr:rowOff>0</xdr:rowOff>
                  </to>
                </anchor>
              </controlPr>
            </control>
          </mc:Choice>
        </mc:AlternateContent>
        <mc:AlternateContent xmlns:mc="http://schemas.openxmlformats.org/markup-compatibility/2006">
          <mc:Choice Requires="x14">
            <control shapeId="6167" r:id="rId20" name="Check Box 23">
              <controlPr defaultSize="0" autoFill="0" autoLine="0" autoPict="0">
                <anchor moveWithCells="1">
                  <from>
                    <xdr:col>5</xdr:col>
                    <xdr:colOff>0</xdr:colOff>
                    <xdr:row>44</xdr:row>
                    <xdr:rowOff>0</xdr:rowOff>
                  </from>
                  <to>
                    <xdr:col>5</xdr:col>
                    <xdr:colOff>2804160</xdr:colOff>
                    <xdr:row>45</xdr:row>
                    <xdr:rowOff>60960</xdr:rowOff>
                  </to>
                </anchor>
              </controlPr>
            </control>
          </mc:Choice>
        </mc:AlternateContent>
        <mc:AlternateContent xmlns:mc="http://schemas.openxmlformats.org/markup-compatibility/2006">
          <mc:Choice Requires="x14">
            <control shapeId="6168" r:id="rId21" name="Check Box 24">
              <controlPr defaultSize="0" autoFill="0" autoLine="0" autoPict="0">
                <anchor moveWithCells="1">
                  <from>
                    <xdr:col>5</xdr:col>
                    <xdr:colOff>0</xdr:colOff>
                    <xdr:row>45</xdr:row>
                    <xdr:rowOff>99060</xdr:rowOff>
                  </from>
                  <to>
                    <xdr:col>5</xdr:col>
                    <xdr:colOff>2743200</xdr:colOff>
                    <xdr:row>46</xdr:row>
                    <xdr:rowOff>129540</xdr:rowOff>
                  </to>
                </anchor>
              </controlPr>
            </control>
          </mc:Choice>
        </mc:AlternateContent>
        <mc:AlternateContent xmlns:mc="http://schemas.openxmlformats.org/markup-compatibility/2006">
          <mc:Choice Requires="x14">
            <control shapeId="6169" r:id="rId22" name="Check Box 25">
              <controlPr defaultSize="0" autoFill="0" autoLine="0" autoPict="0">
                <anchor moveWithCells="1">
                  <from>
                    <xdr:col>5</xdr:col>
                    <xdr:colOff>22860</xdr:colOff>
                    <xdr:row>51</xdr:row>
                    <xdr:rowOff>38100</xdr:rowOff>
                  </from>
                  <to>
                    <xdr:col>5</xdr:col>
                    <xdr:colOff>2766060</xdr:colOff>
                    <xdr:row>52</xdr:row>
                    <xdr:rowOff>0</xdr:rowOff>
                  </to>
                </anchor>
              </controlPr>
            </control>
          </mc:Choice>
        </mc:AlternateContent>
        <mc:AlternateContent xmlns:mc="http://schemas.openxmlformats.org/markup-compatibility/2006">
          <mc:Choice Requires="x14">
            <control shapeId="6170" r:id="rId23" name="Check Box 26">
              <controlPr defaultSize="0" autoFill="0" autoLine="0" autoPict="0">
                <anchor moveWithCells="1">
                  <from>
                    <xdr:col>5</xdr:col>
                    <xdr:colOff>30480</xdr:colOff>
                    <xdr:row>52</xdr:row>
                    <xdr:rowOff>373380</xdr:rowOff>
                  </from>
                  <to>
                    <xdr:col>5</xdr:col>
                    <xdr:colOff>2491740</xdr:colOff>
                    <xdr:row>54</xdr:row>
                    <xdr:rowOff>15240</xdr:rowOff>
                  </to>
                </anchor>
              </controlPr>
            </control>
          </mc:Choice>
        </mc:AlternateContent>
        <mc:AlternateContent xmlns:mc="http://schemas.openxmlformats.org/markup-compatibility/2006">
          <mc:Choice Requires="x14">
            <control shapeId="6171" r:id="rId24" name="Check Box 27">
              <controlPr defaultSize="0" autoFill="0" autoLine="0" autoPict="0">
                <anchor moveWithCells="1">
                  <from>
                    <xdr:col>5</xdr:col>
                    <xdr:colOff>22860</xdr:colOff>
                    <xdr:row>59</xdr:row>
                    <xdr:rowOff>30480</xdr:rowOff>
                  </from>
                  <to>
                    <xdr:col>5</xdr:col>
                    <xdr:colOff>2773680</xdr:colOff>
                    <xdr:row>60</xdr:row>
                    <xdr:rowOff>22860</xdr:rowOff>
                  </to>
                </anchor>
              </controlPr>
            </control>
          </mc:Choice>
        </mc:AlternateContent>
        <mc:AlternateContent xmlns:mc="http://schemas.openxmlformats.org/markup-compatibility/2006">
          <mc:Choice Requires="x14">
            <control shapeId="6172" r:id="rId25" name="Check Box 28">
              <controlPr defaultSize="0" autoFill="0" autoLine="0" autoPict="0">
                <anchor moveWithCells="1">
                  <from>
                    <xdr:col>5</xdr:col>
                    <xdr:colOff>22860</xdr:colOff>
                    <xdr:row>60</xdr:row>
                    <xdr:rowOff>30480</xdr:rowOff>
                  </from>
                  <to>
                    <xdr:col>5</xdr:col>
                    <xdr:colOff>2766060</xdr:colOff>
                    <xdr:row>61</xdr:row>
                    <xdr:rowOff>22860</xdr:rowOff>
                  </to>
                </anchor>
              </controlPr>
            </control>
          </mc:Choice>
        </mc:AlternateContent>
        <mc:AlternateContent xmlns:mc="http://schemas.openxmlformats.org/markup-compatibility/2006">
          <mc:Choice Requires="x14">
            <control shapeId="6173" r:id="rId26" name="Check Box 29">
              <controlPr defaultSize="0" autoFill="0" autoLine="0" autoPict="0">
                <anchor moveWithCells="1">
                  <from>
                    <xdr:col>5</xdr:col>
                    <xdr:colOff>15240</xdr:colOff>
                    <xdr:row>61</xdr:row>
                    <xdr:rowOff>30480</xdr:rowOff>
                  </from>
                  <to>
                    <xdr:col>5</xdr:col>
                    <xdr:colOff>2766060</xdr:colOff>
                    <xdr:row>62</xdr:row>
                    <xdr:rowOff>0</xdr:rowOff>
                  </to>
                </anchor>
              </controlPr>
            </control>
          </mc:Choice>
        </mc:AlternateContent>
        <mc:AlternateContent xmlns:mc="http://schemas.openxmlformats.org/markup-compatibility/2006">
          <mc:Choice Requires="x14">
            <control shapeId="6174" r:id="rId27" name="Check Box 30">
              <controlPr defaultSize="0" autoFill="0" autoLine="0" autoPict="0">
                <anchor moveWithCells="1">
                  <from>
                    <xdr:col>5</xdr:col>
                    <xdr:colOff>22860</xdr:colOff>
                    <xdr:row>33</xdr:row>
                    <xdr:rowOff>0</xdr:rowOff>
                  </from>
                  <to>
                    <xdr:col>5</xdr:col>
                    <xdr:colOff>2766060</xdr:colOff>
                    <xdr:row>34</xdr:row>
                    <xdr:rowOff>60960</xdr:rowOff>
                  </to>
                </anchor>
              </controlPr>
            </control>
          </mc:Choice>
        </mc:AlternateContent>
        <mc:AlternateContent xmlns:mc="http://schemas.openxmlformats.org/markup-compatibility/2006">
          <mc:Choice Requires="x14">
            <control shapeId="6175" r:id="rId28" name="Check Box 31">
              <controlPr defaultSize="0" autoFill="0" autoLine="0" autoPict="0">
                <anchor moveWithCells="1">
                  <from>
                    <xdr:col>5</xdr:col>
                    <xdr:colOff>0</xdr:colOff>
                    <xdr:row>47</xdr:row>
                    <xdr:rowOff>76200</xdr:rowOff>
                  </from>
                  <to>
                    <xdr:col>5</xdr:col>
                    <xdr:colOff>2743200</xdr:colOff>
                    <xdr:row>48</xdr:row>
                    <xdr:rowOff>53340</xdr:rowOff>
                  </to>
                </anchor>
              </controlPr>
            </control>
          </mc:Choice>
        </mc:AlternateContent>
        <mc:AlternateContent xmlns:mc="http://schemas.openxmlformats.org/markup-compatibility/2006">
          <mc:Choice Requires="x14">
            <control shapeId="6176" r:id="rId29" name="Check Box 32">
              <controlPr defaultSize="0" autoFill="0" autoLine="0" autoPict="0">
                <anchor moveWithCells="1">
                  <from>
                    <xdr:col>5</xdr:col>
                    <xdr:colOff>0</xdr:colOff>
                    <xdr:row>46</xdr:row>
                    <xdr:rowOff>114300</xdr:rowOff>
                  </from>
                  <to>
                    <xdr:col>5</xdr:col>
                    <xdr:colOff>2743200</xdr:colOff>
                    <xdr:row>47</xdr:row>
                    <xdr:rowOff>91440</xdr:rowOff>
                  </to>
                </anchor>
              </controlPr>
            </control>
          </mc:Choice>
        </mc:AlternateContent>
        <mc:AlternateContent xmlns:mc="http://schemas.openxmlformats.org/markup-compatibility/2006">
          <mc:Choice Requires="x14">
            <control shapeId="6177" r:id="rId30" name="Check Box 33">
              <controlPr defaultSize="0" autoFill="0" autoLine="0" autoPict="0">
                <anchor moveWithCells="1">
                  <from>
                    <xdr:col>5</xdr:col>
                    <xdr:colOff>0</xdr:colOff>
                    <xdr:row>49</xdr:row>
                    <xdr:rowOff>15240</xdr:rowOff>
                  </from>
                  <to>
                    <xdr:col>5</xdr:col>
                    <xdr:colOff>2735580</xdr:colOff>
                    <xdr:row>49</xdr:row>
                    <xdr:rowOff>289560</xdr:rowOff>
                  </to>
                </anchor>
              </controlPr>
            </control>
          </mc:Choice>
        </mc:AlternateContent>
        <mc:AlternateContent xmlns:mc="http://schemas.openxmlformats.org/markup-compatibility/2006">
          <mc:Choice Requires="x14">
            <control shapeId="6178" r:id="rId31" name="Check Box 34">
              <controlPr defaultSize="0" autoFill="0" autoLine="0" autoPict="0">
                <anchor moveWithCells="1">
                  <from>
                    <xdr:col>5</xdr:col>
                    <xdr:colOff>0</xdr:colOff>
                    <xdr:row>48</xdr:row>
                    <xdr:rowOff>53340</xdr:rowOff>
                  </from>
                  <to>
                    <xdr:col>5</xdr:col>
                    <xdr:colOff>2735580</xdr:colOff>
                    <xdr:row>49</xdr:row>
                    <xdr:rowOff>22860</xdr:rowOff>
                  </to>
                </anchor>
              </controlPr>
            </control>
          </mc:Choice>
        </mc:AlternateContent>
        <mc:AlternateContent xmlns:mc="http://schemas.openxmlformats.org/markup-compatibility/2006">
          <mc:Choice Requires="x14">
            <control shapeId="6179" r:id="rId32" name="Check Box 35">
              <controlPr defaultSize="0" autoFill="0" autoLine="0" autoPict="0">
                <anchor moveWithCells="1">
                  <from>
                    <xdr:col>5</xdr:col>
                    <xdr:colOff>0</xdr:colOff>
                    <xdr:row>49</xdr:row>
                    <xdr:rowOff>289560</xdr:rowOff>
                  </from>
                  <to>
                    <xdr:col>5</xdr:col>
                    <xdr:colOff>2735580</xdr:colOff>
                    <xdr:row>50</xdr:row>
                    <xdr:rowOff>251460</xdr:rowOff>
                  </to>
                </anchor>
              </controlPr>
            </control>
          </mc:Choice>
        </mc:AlternateContent>
        <mc:AlternateContent xmlns:mc="http://schemas.openxmlformats.org/markup-compatibility/2006">
          <mc:Choice Requires="x14">
            <control shapeId="6180" r:id="rId33" name="Check Box 36">
              <controlPr defaultSize="0" autoFill="0" autoLine="0" autoPict="0">
                <anchor moveWithCells="1">
                  <from>
                    <xdr:col>5</xdr:col>
                    <xdr:colOff>22860</xdr:colOff>
                    <xdr:row>56</xdr:row>
                    <xdr:rowOff>114300</xdr:rowOff>
                  </from>
                  <to>
                    <xdr:col>5</xdr:col>
                    <xdr:colOff>2766060</xdr:colOff>
                    <xdr:row>56</xdr:row>
                    <xdr:rowOff>441960</xdr:rowOff>
                  </to>
                </anchor>
              </controlPr>
            </control>
          </mc:Choice>
        </mc:AlternateContent>
        <mc:AlternateContent xmlns:mc="http://schemas.openxmlformats.org/markup-compatibility/2006">
          <mc:Choice Requires="x14">
            <control shapeId="6183" r:id="rId34" name="Check Box 39">
              <controlPr defaultSize="0" autoFill="0" autoLine="0" autoPict="0">
                <anchor moveWithCells="1">
                  <from>
                    <xdr:col>5</xdr:col>
                    <xdr:colOff>30480</xdr:colOff>
                    <xdr:row>57</xdr:row>
                    <xdr:rowOff>167640</xdr:rowOff>
                  </from>
                  <to>
                    <xdr:col>5</xdr:col>
                    <xdr:colOff>2773680</xdr:colOff>
                    <xdr:row>58</xdr:row>
                    <xdr:rowOff>190500</xdr:rowOff>
                  </to>
                </anchor>
              </controlPr>
            </control>
          </mc:Choice>
        </mc:AlternateContent>
        <mc:AlternateContent xmlns:mc="http://schemas.openxmlformats.org/markup-compatibility/2006">
          <mc:Choice Requires="x14">
            <control shapeId="6184" r:id="rId35" name="Check Box 40">
              <controlPr defaultSize="0" autoFill="0" autoLine="0" autoPict="0">
                <anchor moveWithCells="1">
                  <from>
                    <xdr:col>5</xdr:col>
                    <xdr:colOff>30480</xdr:colOff>
                    <xdr:row>62</xdr:row>
                    <xdr:rowOff>68580</xdr:rowOff>
                  </from>
                  <to>
                    <xdr:col>5</xdr:col>
                    <xdr:colOff>2804160</xdr:colOff>
                    <xdr:row>62</xdr:row>
                    <xdr:rowOff>373380</xdr:rowOff>
                  </to>
                </anchor>
              </controlPr>
            </control>
          </mc:Choice>
        </mc:AlternateContent>
        <mc:AlternateContent xmlns:mc="http://schemas.openxmlformats.org/markup-compatibility/2006">
          <mc:Choice Requires="x14">
            <control shapeId="6185" r:id="rId36" name="Check Box 41">
              <controlPr defaultSize="0" autoFill="0" autoLine="0" autoPict="0">
                <anchor moveWithCells="1">
                  <from>
                    <xdr:col>5</xdr:col>
                    <xdr:colOff>22860</xdr:colOff>
                    <xdr:row>38</xdr:row>
                    <xdr:rowOff>243840</xdr:rowOff>
                  </from>
                  <to>
                    <xdr:col>5</xdr:col>
                    <xdr:colOff>2766060</xdr:colOff>
                    <xdr:row>40</xdr:row>
                    <xdr:rowOff>15240</xdr:rowOff>
                  </to>
                </anchor>
              </controlPr>
            </control>
          </mc:Choice>
        </mc:AlternateContent>
        <mc:AlternateContent xmlns:mc="http://schemas.openxmlformats.org/markup-compatibility/2006">
          <mc:Choice Requires="x14">
            <control shapeId="6191" r:id="rId37" name="Check Box 47">
              <controlPr defaultSize="0" autoFill="0" autoLine="0" autoPict="0">
                <anchor moveWithCells="1">
                  <from>
                    <xdr:col>6</xdr:col>
                    <xdr:colOff>0</xdr:colOff>
                    <xdr:row>53</xdr:row>
                    <xdr:rowOff>38100</xdr:rowOff>
                  </from>
                  <to>
                    <xdr:col>8</xdr:col>
                    <xdr:colOff>952500</xdr:colOff>
                    <xdr:row>53</xdr:row>
                    <xdr:rowOff>342900</xdr:rowOff>
                  </to>
                </anchor>
              </controlPr>
            </control>
          </mc:Choice>
        </mc:AlternateContent>
        <mc:AlternateContent xmlns:mc="http://schemas.openxmlformats.org/markup-compatibility/2006">
          <mc:Choice Requires="x14">
            <control shapeId="6192" r:id="rId38" name="Check Box 48">
              <controlPr defaultSize="0" autoFill="0" autoLine="0" autoPict="0">
                <anchor moveWithCells="1">
                  <from>
                    <xdr:col>5</xdr:col>
                    <xdr:colOff>3124200</xdr:colOff>
                    <xdr:row>52</xdr:row>
                    <xdr:rowOff>22860</xdr:rowOff>
                  </from>
                  <to>
                    <xdr:col>8</xdr:col>
                    <xdr:colOff>982980</xdr:colOff>
                    <xdr:row>52</xdr:row>
                    <xdr:rowOff>365760</xdr:rowOff>
                  </to>
                </anchor>
              </controlPr>
            </control>
          </mc:Choice>
        </mc:AlternateContent>
        <mc:AlternateContent xmlns:mc="http://schemas.openxmlformats.org/markup-compatibility/2006">
          <mc:Choice Requires="x14">
            <control shapeId="6193" r:id="rId39" name="Check Box 49">
              <controlPr defaultSize="0" autoFill="0" autoLine="0" autoPict="0">
                <anchor moveWithCells="1">
                  <from>
                    <xdr:col>5</xdr:col>
                    <xdr:colOff>3124200</xdr:colOff>
                    <xdr:row>54</xdr:row>
                    <xdr:rowOff>38100</xdr:rowOff>
                  </from>
                  <to>
                    <xdr:col>8</xdr:col>
                    <xdr:colOff>967740</xdr:colOff>
                    <xdr:row>54</xdr:row>
                    <xdr:rowOff>327660</xdr:rowOff>
                  </to>
                </anchor>
              </controlPr>
            </control>
          </mc:Choice>
        </mc:AlternateContent>
        <mc:AlternateContent xmlns:mc="http://schemas.openxmlformats.org/markup-compatibility/2006">
          <mc:Choice Requires="x14">
            <control shapeId="6199" r:id="rId40" name="Button 55">
              <controlPr defaultSize="0" print="0" autoFill="0" autoPict="0" macro="[0]!Mail_small_Text_And_JPG_Range_Outlook">
                <anchor moveWithCells="1" sizeWithCells="1">
                  <from>
                    <xdr:col>11</xdr:col>
                    <xdr:colOff>220980</xdr:colOff>
                    <xdr:row>7</xdr:row>
                    <xdr:rowOff>175260</xdr:rowOff>
                  </from>
                  <to>
                    <xdr:col>12</xdr:col>
                    <xdr:colOff>510540</xdr:colOff>
                    <xdr:row>9</xdr:row>
                    <xdr:rowOff>129540</xdr:rowOff>
                  </to>
                </anchor>
              </controlPr>
            </control>
          </mc:Choice>
        </mc:AlternateContent>
        <mc:AlternateContent xmlns:mc="http://schemas.openxmlformats.org/markup-compatibility/2006">
          <mc:Choice Requires="x14">
            <control shapeId="6224" r:id="rId41" name="Check Box 80">
              <controlPr defaultSize="0" autoFill="0" autoLine="0" autoPict="0">
                <anchor moveWithCells="1">
                  <from>
                    <xdr:col>5</xdr:col>
                    <xdr:colOff>0</xdr:colOff>
                    <xdr:row>65</xdr:row>
                    <xdr:rowOff>0</xdr:rowOff>
                  </from>
                  <to>
                    <xdr:col>5</xdr:col>
                    <xdr:colOff>876300</xdr:colOff>
                    <xdr:row>65</xdr:row>
                    <xdr:rowOff>205740</xdr:rowOff>
                  </to>
                </anchor>
              </controlPr>
            </control>
          </mc:Choice>
        </mc:AlternateContent>
        <mc:AlternateContent xmlns:mc="http://schemas.openxmlformats.org/markup-compatibility/2006">
          <mc:Choice Requires="x14">
            <control shapeId="6225" r:id="rId42" name="Check Box 81">
              <controlPr defaultSize="0" autoFill="0" autoLine="0" autoPict="0">
                <anchor moveWithCells="1">
                  <from>
                    <xdr:col>5</xdr:col>
                    <xdr:colOff>0</xdr:colOff>
                    <xdr:row>66</xdr:row>
                    <xdr:rowOff>0</xdr:rowOff>
                  </from>
                  <to>
                    <xdr:col>5</xdr:col>
                    <xdr:colOff>1851660</xdr:colOff>
                    <xdr:row>66</xdr:row>
                    <xdr:rowOff>205740</xdr:rowOff>
                  </to>
                </anchor>
              </controlPr>
            </control>
          </mc:Choice>
        </mc:AlternateContent>
        <mc:AlternateContent xmlns:mc="http://schemas.openxmlformats.org/markup-compatibility/2006">
          <mc:Choice Requires="x14">
            <control shapeId="6226" r:id="rId43" name="Check Box 82">
              <controlPr defaultSize="0" autoFill="0" autoLine="0" autoPict="0">
                <anchor moveWithCells="1">
                  <from>
                    <xdr:col>5</xdr:col>
                    <xdr:colOff>0</xdr:colOff>
                    <xdr:row>67</xdr:row>
                    <xdr:rowOff>0</xdr:rowOff>
                  </from>
                  <to>
                    <xdr:col>5</xdr:col>
                    <xdr:colOff>1485900</xdr:colOff>
                    <xdr:row>67</xdr:row>
                    <xdr:rowOff>205740</xdr:rowOff>
                  </to>
                </anchor>
              </controlPr>
            </control>
          </mc:Choice>
        </mc:AlternateContent>
        <mc:AlternateContent xmlns:mc="http://schemas.openxmlformats.org/markup-compatibility/2006">
          <mc:Choice Requires="x14">
            <control shapeId="6227" r:id="rId44" name="Check Box 83">
              <controlPr defaultSize="0" autoFill="0" autoLine="0" autoPict="0">
                <anchor moveWithCells="1">
                  <from>
                    <xdr:col>5</xdr:col>
                    <xdr:colOff>0</xdr:colOff>
                    <xdr:row>68</xdr:row>
                    <xdr:rowOff>38100</xdr:rowOff>
                  </from>
                  <to>
                    <xdr:col>5</xdr:col>
                    <xdr:colOff>1584960</xdr:colOff>
                    <xdr:row>68</xdr:row>
                    <xdr:rowOff>259080</xdr:rowOff>
                  </to>
                </anchor>
              </controlPr>
            </control>
          </mc:Choice>
        </mc:AlternateContent>
        <mc:AlternateContent xmlns:mc="http://schemas.openxmlformats.org/markup-compatibility/2006">
          <mc:Choice Requires="x14">
            <control shapeId="6228" r:id="rId45" name="Check Box 84">
              <controlPr defaultSize="0" autoFill="0" autoLine="0" autoPict="0">
                <anchor moveWithCells="1">
                  <from>
                    <xdr:col>5</xdr:col>
                    <xdr:colOff>30480</xdr:colOff>
                    <xdr:row>70</xdr:row>
                    <xdr:rowOff>0</xdr:rowOff>
                  </from>
                  <to>
                    <xdr:col>5</xdr:col>
                    <xdr:colOff>1859280</xdr:colOff>
                    <xdr:row>70</xdr:row>
                    <xdr:rowOff>205740</xdr:rowOff>
                  </to>
                </anchor>
              </controlPr>
            </control>
          </mc:Choice>
        </mc:AlternateContent>
        <mc:AlternateContent xmlns:mc="http://schemas.openxmlformats.org/markup-compatibility/2006">
          <mc:Choice Requires="x14">
            <control shapeId="6229" r:id="rId46" name="Check Box 85">
              <controlPr defaultSize="0" autoFill="0" autoLine="0" autoPict="0">
                <anchor moveWithCells="1">
                  <from>
                    <xdr:col>5</xdr:col>
                    <xdr:colOff>22860</xdr:colOff>
                    <xdr:row>63</xdr:row>
                    <xdr:rowOff>15240</xdr:rowOff>
                  </from>
                  <to>
                    <xdr:col>5</xdr:col>
                    <xdr:colOff>2468880</xdr:colOff>
                    <xdr:row>63</xdr:row>
                    <xdr:rowOff>266700</xdr:rowOff>
                  </to>
                </anchor>
              </controlPr>
            </control>
          </mc:Choice>
        </mc:AlternateContent>
        <mc:AlternateContent xmlns:mc="http://schemas.openxmlformats.org/markup-compatibility/2006">
          <mc:Choice Requires="x14">
            <control shapeId="6230" r:id="rId47" name="Check Box 86">
              <controlPr defaultSize="0" autoFill="0" autoLine="0" autoPict="0">
                <anchor moveWithCells="1">
                  <from>
                    <xdr:col>5</xdr:col>
                    <xdr:colOff>15240</xdr:colOff>
                    <xdr:row>63</xdr:row>
                    <xdr:rowOff>281940</xdr:rowOff>
                  </from>
                  <to>
                    <xdr:col>5</xdr:col>
                    <xdr:colOff>2659380</xdr:colOff>
                    <xdr:row>64</xdr:row>
                    <xdr:rowOff>182880</xdr:rowOff>
                  </to>
                </anchor>
              </controlPr>
            </control>
          </mc:Choice>
        </mc:AlternateContent>
        <mc:AlternateContent xmlns:mc="http://schemas.openxmlformats.org/markup-compatibility/2006">
          <mc:Choice Requires="x14">
            <control shapeId="6231" r:id="rId48" name="Check Box 87">
              <controlPr defaultSize="0" autoFill="0" autoLine="0" autoPict="0">
                <anchor moveWithCells="1">
                  <from>
                    <xdr:col>5</xdr:col>
                    <xdr:colOff>30480</xdr:colOff>
                    <xdr:row>69</xdr:row>
                    <xdr:rowOff>22860</xdr:rowOff>
                  </from>
                  <to>
                    <xdr:col>5</xdr:col>
                    <xdr:colOff>1447800</xdr:colOff>
                    <xdr:row>69</xdr:row>
                    <xdr:rowOff>220980</xdr:rowOff>
                  </to>
                </anchor>
              </controlPr>
            </control>
          </mc:Choice>
        </mc:AlternateContent>
        <mc:AlternateContent xmlns:mc="http://schemas.openxmlformats.org/markup-compatibility/2006">
          <mc:Choice Requires="x14">
            <control shapeId="6233" r:id="rId49" name="Check Box 89">
              <controlPr defaultSize="0" autoFill="0" autoLine="0" autoPict="0">
                <anchor moveWithCells="1">
                  <from>
                    <xdr:col>5</xdr:col>
                    <xdr:colOff>30480</xdr:colOff>
                    <xdr:row>55</xdr:row>
                    <xdr:rowOff>68580</xdr:rowOff>
                  </from>
                  <to>
                    <xdr:col>5</xdr:col>
                    <xdr:colOff>2819400</xdr:colOff>
                    <xdr:row>55</xdr:row>
                    <xdr:rowOff>434340</xdr:rowOff>
                  </to>
                </anchor>
              </controlPr>
            </control>
          </mc:Choice>
        </mc:AlternateContent>
        <mc:AlternateContent xmlns:mc="http://schemas.openxmlformats.org/markup-compatibility/2006">
          <mc:Choice Requires="x14">
            <control shapeId="6235" r:id="rId50" name="Check Box 91">
              <controlPr defaultSize="0" autoFill="0" autoLine="0" autoPict="0">
                <anchor moveWithCells="1">
                  <from>
                    <xdr:col>5</xdr:col>
                    <xdr:colOff>22860</xdr:colOff>
                    <xdr:row>71</xdr:row>
                    <xdr:rowOff>91440</xdr:rowOff>
                  </from>
                  <to>
                    <xdr:col>5</xdr:col>
                    <xdr:colOff>1844040</xdr:colOff>
                    <xdr:row>71</xdr:row>
                    <xdr:rowOff>289560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Roster!$V$2:$V$9</xm:f>
          </x14:formula1>
          <xm:sqref>G72:I72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V250"/>
  <sheetViews>
    <sheetView showGridLines="0" workbookViewId="0">
      <selection activeCell="H43" sqref="H43"/>
    </sheetView>
  </sheetViews>
  <sheetFormatPr defaultColWidth="0" defaultRowHeight="10.199999999999999" x14ac:dyDescent="0.2"/>
  <cols>
    <col min="1" max="1" width="13.21875" style="6" customWidth="1"/>
    <col min="2" max="2" width="10.77734375" style="6" customWidth="1"/>
    <col min="3" max="3" width="10.21875" style="6" bestFit="1" customWidth="1"/>
    <col min="4" max="4" width="9.21875" style="6" customWidth="1"/>
    <col min="5" max="5" width="12.21875" style="6" customWidth="1"/>
    <col min="6" max="6" width="12.77734375" style="6" customWidth="1"/>
    <col min="7" max="7" width="16.5546875" style="6" customWidth="1"/>
    <col min="8" max="8" width="9.21875" style="6" customWidth="1"/>
    <col min="9" max="9" width="8.77734375" style="6" customWidth="1"/>
    <col min="10" max="10" width="7.5546875" style="6" customWidth="1"/>
    <col min="11" max="11" width="11.21875" style="6" customWidth="1"/>
    <col min="12" max="12" width="10.77734375" style="6" bestFit="1" customWidth="1"/>
    <col min="13" max="13" width="11" style="6" customWidth="1"/>
    <col min="14" max="14" width="16" style="6" bestFit="1" customWidth="1"/>
    <col min="15" max="15" width="8.77734375" style="6" bestFit="1" customWidth="1"/>
    <col min="16" max="16" width="9.77734375" style="6" customWidth="1"/>
    <col min="17" max="17" width="10.77734375" style="6" customWidth="1"/>
    <col min="18" max="18" width="8.21875" style="6" customWidth="1"/>
    <col min="19" max="19" width="16" style="6" customWidth="1"/>
    <col min="20" max="20" width="35" style="6" customWidth="1"/>
    <col min="21" max="21" width="16.77734375" style="6" customWidth="1"/>
    <col min="22" max="22" width="30.21875" style="6" customWidth="1"/>
    <col min="23" max="23" width="22.77734375" style="6" customWidth="1"/>
    <col min="24" max="24" width="28.21875" style="6" customWidth="1"/>
    <col min="25" max="25" width="21.77734375" style="6" customWidth="1"/>
    <col min="26" max="26" width="20.5546875" style="6" customWidth="1"/>
    <col min="27" max="27" width="8.77734375" style="6" customWidth="1"/>
    <col min="28" max="28" width="12.77734375" style="6" customWidth="1"/>
    <col min="29" max="29" width="15.5546875" style="6" customWidth="1"/>
    <col min="30" max="30" width="23" style="6" customWidth="1"/>
    <col min="31" max="31" width="13.21875" style="6" customWidth="1"/>
    <col min="32" max="32" width="8.77734375" style="6" customWidth="1"/>
    <col min="33" max="33" width="34" style="6" customWidth="1"/>
    <col min="34" max="34" width="29.21875" style="6" customWidth="1"/>
    <col min="35" max="35" width="23" style="6" customWidth="1"/>
    <col min="36" max="36" width="22" style="6" customWidth="1"/>
    <col min="37" max="37" width="21.44140625" style="6" customWidth="1"/>
    <col min="38" max="38" width="35.21875" style="6" customWidth="1"/>
    <col min="39" max="39" width="23.77734375" style="6" customWidth="1"/>
    <col min="40" max="40" width="18.5546875" style="6" customWidth="1"/>
    <col min="41" max="41" width="38.21875" style="6" customWidth="1"/>
    <col min="42" max="42" width="22" style="6" customWidth="1"/>
    <col min="43" max="43" width="20" style="6" customWidth="1"/>
    <col min="44" max="45" width="24.44140625" style="6" customWidth="1"/>
    <col min="46" max="46" width="20.5546875" style="6" customWidth="1"/>
    <col min="47" max="47" width="11.21875" style="6" customWidth="1"/>
    <col min="48" max="48" width="21.77734375" style="6" customWidth="1"/>
    <col min="49" max="49" width="13.5546875" style="6" customWidth="1"/>
    <col min="50" max="50" width="33.5546875" style="6" customWidth="1"/>
    <col min="51" max="51" width="52.77734375" style="6" customWidth="1"/>
    <col min="52" max="52" width="43.77734375" style="6" customWidth="1"/>
    <col min="53" max="53" width="34.21875" style="6" customWidth="1"/>
    <col min="54" max="54" width="20.44140625" style="6" customWidth="1"/>
    <col min="55" max="55" width="32.77734375" style="6" customWidth="1"/>
    <col min="56" max="57" width="22.21875" style="6" customWidth="1"/>
    <col min="58" max="58" width="13.77734375" style="6" customWidth="1"/>
    <col min="59" max="59" width="32.21875" style="6" customWidth="1"/>
    <col min="60" max="60" width="31" style="6" customWidth="1"/>
    <col min="61" max="61" width="18.77734375" style="6" customWidth="1"/>
    <col min="62" max="62" width="40.21875" style="6" customWidth="1"/>
    <col min="63" max="63" width="22.21875" style="6" customWidth="1"/>
    <col min="64" max="64" width="27.44140625" style="6" customWidth="1"/>
    <col min="65" max="65" width="34.77734375" style="6" customWidth="1"/>
    <col min="66" max="66" width="20.77734375" style="6" customWidth="1"/>
    <col min="67" max="67" width="8.77734375" style="6" customWidth="1"/>
    <col min="68" max="68" width="16.77734375" style="6" customWidth="1"/>
    <col min="69" max="69" width="35.77734375" style="6" customWidth="1"/>
    <col min="70" max="70" width="17.44140625" style="6" customWidth="1"/>
    <col min="71" max="71" width="31" style="6" customWidth="1"/>
    <col min="72" max="72" width="23.5546875" style="6" customWidth="1"/>
    <col min="73" max="76" width="29" style="6" customWidth="1"/>
    <col min="77" max="77" width="22.5546875" style="6" customWidth="1"/>
    <col min="78" max="78" width="22.21875" style="6" customWidth="1"/>
    <col min="79" max="79" width="9.21875" style="6" customWidth="1"/>
    <col min="80" max="80" width="14.44140625" style="6" customWidth="1"/>
    <col min="81" max="81" width="17.21875" style="6" customWidth="1"/>
    <col min="82" max="82" width="24.5546875" style="6" customWidth="1"/>
    <col min="83" max="83" width="14.77734375" style="6" customWidth="1"/>
    <col min="84" max="84" width="8.77734375" style="6" customWidth="1"/>
    <col min="85" max="85" width="17.5546875" style="6" customWidth="1"/>
    <col min="86" max="86" width="36.5546875" style="6" customWidth="1"/>
    <col min="87" max="87" width="18.21875" style="6" customWidth="1"/>
    <col min="88" max="88" width="29.77734375" style="6" customWidth="1"/>
    <col min="89" max="89" width="24.21875" style="6" customWidth="1"/>
    <col min="90" max="90" width="37.21875" style="6" customWidth="1"/>
    <col min="91" max="91" width="23.21875" style="6" customWidth="1"/>
    <col min="92" max="92" width="22.21875" style="6" customWidth="1"/>
    <col min="93" max="93" width="14.44140625" style="6" customWidth="1"/>
    <col min="94" max="94" width="8.77734375" style="6" customWidth="1"/>
    <col min="95" max="95" width="11.21875" style="6" customWidth="1"/>
    <col min="96" max="96" width="16.21875" style="6" customWidth="1"/>
    <col min="97" max="97" width="11.77734375" style="6" customWidth="1"/>
    <col min="98" max="98" width="14.21875" style="6" customWidth="1"/>
    <col min="99" max="99" width="8.77734375" style="6" customWidth="1"/>
    <col min="100" max="100" width="10.77734375" style="6" customWidth="1"/>
    <col min="101" max="101" width="8.77734375" style="6" customWidth="1"/>
    <col min="102" max="204" width="0" style="6" hidden="1" customWidth="1"/>
    <col min="205" max="16384" width="8.77734375" style="6" hidden="1"/>
  </cols>
  <sheetData>
    <row r="1" spans="1:101" ht="15.6" customHeight="1" thickTop="1" thickBot="1" x14ac:dyDescent="0.25">
      <c r="A1" s="336" t="s">
        <v>41</v>
      </c>
      <c r="B1" s="336"/>
      <c r="C1" s="336"/>
      <c r="D1" s="336"/>
      <c r="E1" s="336"/>
      <c r="F1" s="336"/>
      <c r="G1" s="336"/>
      <c r="H1" s="336"/>
      <c r="I1" s="336"/>
      <c r="J1" s="336"/>
      <c r="K1" s="336"/>
      <c r="L1" s="336"/>
      <c r="M1" s="336"/>
      <c r="N1" s="336"/>
      <c r="O1" s="336"/>
      <c r="P1" s="336"/>
      <c r="Q1" s="138"/>
      <c r="R1" s="138"/>
      <c r="S1" s="337" t="s">
        <v>42</v>
      </c>
      <c r="T1" s="338"/>
      <c r="U1" s="338"/>
      <c r="V1" s="338"/>
      <c r="W1" s="338"/>
      <c r="X1" s="338"/>
      <c r="Y1" s="338"/>
      <c r="Z1" s="338"/>
      <c r="AA1" s="338"/>
      <c r="AB1" s="338"/>
      <c r="AC1" s="338"/>
      <c r="AD1" s="338"/>
      <c r="AE1" s="338"/>
      <c r="AF1" s="339"/>
      <c r="AG1" s="338" t="s">
        <v>137</v>
      </c>
      <c r="AH1" s="338"/>
      <c r="AI1" s="338"/>
      <c r="AJ1" s="338"/>
      <c r="AK1" s="338"/>
      <c r="AL1" s="338"/>
      <c r="AM1" s="338"/>
      <c r="AN1" s="338"/>
      <c r="AO1" s="338"/>
      <c r="AP1" s="338"/>
      <c r="AQ1" s="338"/>
      <c r="AR1" s="338"/>
      <c r="AS1" s="338"/>
      <c r="AT1" s="338"/>
      <c r="AU1" s="338"/>
      <c r="AV1" s="338"/>
      <c r="AW1" s="338"/>
      <c r="AX1" s="338"/>
      <c r="AY1" s="338"/>
      <c r="AZ1" s="338"/>
      <c r="BA1" s="338"/>
      <c r="BB1" s="338"/>
      <c r="BC1" s="338"/>
      <c r="BD1" s="338"/>
      <c r="BE1" s="338"/>
      <c r="BF1" s="338"/>
      <c r="BG1" s="338"/>
      <c r="BH1" s="338"/>
      <c r="BI1" s="338"/>
      <c r="BJ1" s="338"/>
      <c r="BK1" s="338"/>
      <c r="BL1" s="338"/>
      <c r="BM1" s="338"/>
      <c r="BN1" s="338"/>
      <c r="BO1" s="339"/>
      <c r="BP1" s="340" t="s">
        <v>43</v>
      </c>
      <c r="BQ1" s="341"/>
      <c r="BR1" s="341"/>
      <c r="BS1" s="341"/>
      <c r="BT1" s="341"/>
      <c r="BU1" s="341"/>
      <c r="BV1" s="341"/>
      <c r="BW1" s="341"/>
      <c r="BX1" s="341"/>
      <c r="BY1" s="341"/>
      <c r="BZ1" s="341"/>
      <c r="CA1" s="341"/>
      <c r="CB1" s="341"/>
      <c r="CC1" s="341"/>
      <c r="CD1" s="341"/>
      <c r="CE1" s="341"/>
      <c r="CF1" s="342"/>
      <c r="CG1" s="360" t="s">
        <v>44</v>
      </c>
      <c r="CH1" s="361"/>
      <c r="CI1" s="361"/>
      <c r="CJ1" s="361"/>
      <c r="CK1" s="361"/>
      <c r="CL1" s="361"/>
      <c r="CM1" s="361"/>
      <c r="CN1" s="361"/>
      <c r="CO1" s="361"/>
      <c r="CP1" s="352"/>
      <c r="CQ1" s="360" t="s">
        <v>45</v>
      </c>
      <c r="CR1" s="361"/>
      <c r="CS1" s="361"/>
      <c r="CT1" s="361"/>
      <c r="CU1" s="352"/>
      <c r="CV1" s="352" t="s">
        <v>65</v>
      </c>
      <c r="CW1" s="81"/>
    </row>
    <row r="2" spans="1:101" ht="15.6" customHeight="1" thickTop="1" thickBot="1" x14ac:dyDescent="0.25">
      <c r="A2" s="346" t="s">
        <v>138</v>
      </c>
      <c r="B2" s="346"/>
      <c r="C2" s="346"/>
      <c r="D2" s="346"/>
      <c r="E2" s="346"/>
      <c r="F2" s="346" t="s">
        <v>139</v>
      </c>
      <c r="G2" s="346"/>
      <c r="H2" s="346"/>
      <c r="I2" s="346"/>
      <c r="J2" s="346" t="s">
        <v>140</v>
      </c>
      <c r="K2" s="346"/>
      <c r="L2" s="346"/>
      <c r="M2" s="346" t="s">
        <v>46</v>
      </c>
      <c r="N2" s="346"/>
      <c r="O2" s="346"/>
      <c r="P2" s="346"/>
      <c r="Q2" s="139"/>
      <c r="R2" s="139"/>
      <c r="S2" s="343" t="s">
        <v>47</v>
      </c>
      <c r="T2" s="345"/>
      <c r="U2" s="343" t="s">
        <v>48</v>
      </c>
      <c r="V2" s="344"/>
      <c r="W2" s="345"/>
      <c r="X2" s="343" t="s">
        <v>49</v>
      </c>
      <c r="Y2" s="345"/>
      <c r="Z2" s="343" t="s">
        <v>50</v>
      </c>
      <c r="AA2" s="344"/>
      <c r="AB2" s="344"/>
      <c r="AC2" s="344"/>
      <c r="AD2" s="344"/>
      <c r="AE2" s="345"/>
      <c r="AF2" s="75" t="s">
        <v>51</v>
      </c>
      <c r="AG2" s="344"/>
      <c r="AH2" s="344"/>
      <c r="AI2" s="344"/>
      <c r="AJ2" s="344"/>
      <c r="AK2" s="344"/>
      <c r="AL2" s="345"/>
      <c r="AM2" s="343" t="s">
        <v>48</v>
      </c>
      <c r="AN2" s="344"/>
      <c r="AO2" s="344"/>
      <c r="AP2" s="344"/>
      <c r="AQ2" s="344"/>
      <c r="AR2" s="344"/>
      <c r="AS2" s="344"/>
      <c r="AT2" s="344"/>
      <c r="AU2" s="344"/>
      <c r="AV2" s="344"/>
      <c r="AW2" s="344"/>
      <c r="AX2" s="343" t="s">
        <v>49</v>
      </c>
      <c r="AY2" s="344"/>
      <c r="AZ2" s="344"/>
      <c r="BA2" s="344"/>
      <c r="BB2" s="344"/>
      <c r="BC2" s="344"/>
      <c r="BD2" s="344"/>
      <c r="BE2" s="344"/>
      <c r="BF2" s="344"/>
      <c r="BG2" s="345"/>
      <c r="BH2" s="343" t="s">
        <v>50</v>
      </c>
      <c r="BI2" s="344"/>
      <c r="BJ2" s="344"/>
      <c r="BK2" s="344"/>
      <c r="BL2" s="344"/>
      <c r="BM2" s="344"/>
      <c r="BN2" s="344"/>
      <c r="BO2" s="345"/>
      <c r="BP2" s="350" t="s">
        <v>47</v>
      </c>
      <c r="BQ2" s="351"/>
      <c r="BR2" s="350" t="s">
        <v>48</v>
      </c>
      <c r="BS2" s="356"/>
      <c r="BT2" s="351"/>
      <c r="BU2" s="357" t="s">
        <v>49</v>
      </c>
      <c r="BV2" s="358"/>
      <c r="BW2" s="358"/>
      <c r="BX2" s="358"/>
      <c r="BY2" s="359"/>
      <c r="BZ2" s="350" t="s">
        <v>50</v>
      </c>
      <c r="CA2" s="356"/>
      <c r="CB2" s="356"/>
      <c r="CC2" s="356"/>
      <c r="CD2" s="356"/>
      <c r="CE2" s="351"/>
      <c r="CF2" s="76" t="s">
        <v>51</v>
      </c>
      <c r="CG2" s="362"/>
      <c r="CH2" s="363"/>
      <c r="CI2" s="363"/>
      <c r="CJ2" s="363"/>
      <c r="CK2" s="363"/>
      <c r="CL2" s="363"/>
      <c r="CM2" s="363"/>
      <c r="CN2" s="363"/>
      <c r="CO2" s="363"/>
      <c r="CP2" s="353"/>
      <c r="CQ2" s="362"/>
      <c r="CR2" s="363"/>
      <c r="CS2" s="363"/>
      <c r="CT2" s="363"/>
      <c r="CU2" s="353"/>
      <c r="CV2" s="353"/>
    </row>
    <row r="3" spans="1:101" ht="15.6" customHeight="1" thickTop="1" thickBot="1" x14ac:dyDescent="0.25">
      <c r="A3" s="72" t="s">
        <v>66</v>
      </c>
      <c r="B3" s="72" t="s">
        <v>67</v>
      </c>
      <c r="C3" s="72" t="s">
        <v>68</v>
      </c>
      <c r="D3" s="72" t="s">
        <v>69</v>
      </c>
      <c r="E3" s="72" t="s">
        <v>70</v>
      </c>
      <c r="F3" s="72" t="s">
        <v>71</v>
      </c>
      <c r="G3" s="72" t="s">
        <v>72</v>
      </c>
      <c r="H3" s="72" t="s">
        <v>73</v>
      </c>
      <c r="I3" s="72" t="s">
        <v>74</v>
      </c>
      <c r="J3" s="72" t="s">
        <v>75</v>
      </c>
      <c r="K3" s="72" t="s">
        <v>76</v>
      </c>
      <c r="L3" s="72" t="s">
        <v>77</v>
      </c>
      <c r="M3" s="72" t="s">
        <v>78</v>
      </c>
      <c r="N3" s="72" t="s">
        <v>79</v>
      </c>
      <c r="O3" s="72" t="s">
        <v>80</v>
      </c>
      <c r="P3" s="72" t="s">
        <v>81</v>
      </c>
      <c r="Q3" s="72" t="s">
        <v>82</v>
      </c>
      <c r="R3" s="72" t="s">
        <v>83</v>
      </c>
      <c r="S3" s="73" t="s">
        <v>52</v>
      </c>
      <c r="T3" s="73" t="s">
        <v>84</v>
      </c>
      <c r="U3" s="73" t="s">
        <v>54</v>
      </c>
      <c r="V3" s="73" t="s">
        <v>85</v>
      </c>
      <c r="W3" s="73" t="s">
        <v>56</v>
      </c>
      <c r="X3" s="73" t="s">
        <v>86</v>
      </c>
      <c r="Y3" s="73" t="s">
        <v>58</v>
      </c>
      <c r="Z3" s="73" t="s">
        <v>59</v>
      </c>
      <c r="AA3" s="73" t="s">
        <v>60</v>
      </c>
      <c r="AB3" s="73" t="s">
        <v>61</v>
      </c>
      <c r="AC3" s="73" t="s">
        <v>62</v>
      </c>
      <c r="AD3" s="73" t="s">
        <v>63</v>
      </c>
      <c r="AE3" s="73" t="s">
        <v>64</v>
      </c>
      <c r="AF3" s="73" t="s">
        <v>51</v>
      </c>
      <c r="AG3" s="347" t="s">
        <v>52</v>
      </c>
      <c r="AH3" s="347"/>
      <c r="AI3" s="348" t="s">
        <v>53</v>
      </c>
      <c r="AJ3" s="347"/>
      <c r="AK3" s="347"/>
      <c r="AL3" s="349"/>
      <c r="AM3" s="348" t="s">
        <v>54</v>
      </c>
      <c r="AN3" s="347"/>
      <c r="AO3" s="349"/>
      <c r="AP3" s="348" t="s">
        <v>55</v>
      </c>
      <c r="AQ3" s="347"/>
      <c r="AR3" s="347"/>
      <c r="AS3" s="347"/>
      <c r="AT3" s="349"/>
      <c r="AU3" s="348" t="s">
        <v>56</v>
      </c>
      <c r="AV3" s="347"/>
      <c r="AW3" s="347"/>
      <c r="AX3" s="348" t="s">
        <v>57</v>
      </c>
      <c r="AY3" s="347"/>
      <c r="AZ3" s="347"/>
      <c r="BA3" s="347"/>
      <c r="BB3" s="347"/>
      <c r="BC3" s="347"/>
      <c r="BD3" s="347"/>
      <c r="BE3" s="349"/>
      <c r="BF3" s="348" t="s">
        <v>58</v>
      </c>
      <c r="BG3" s="347"/>
      <c r="BH3" s="74" t="s">
        <v>59</v>
      </c>
      <c r="BI3" s="354" t="s">
        <v>60</v>
      </c>
      <c r="BJ3" s="355"/>
      <c r="BK3" s="74" t="s">
        <v>61</v>
      </c>
      <c r="BL3" s="74" t="s">
        <v>62</v>
      </c>
      <c r="BM3" s="74" t="s">
        <v>63</v>
      </c>
      <c r="BN3" s="74" t="s">
        <v>64</v>
      </c>
      <c r="BO3" s="74" t="s">
        <v>51</v>
      </c>
      <c r="BP3" s="77" t="s">
        <v>52</v>
      </c>
      <c r="BQ3" s="77" t="s">
        <v>84</v>
      </c>
      <c r="BR3" s="77" t="s">
        <v>54</v>
      </c>
      <c r="BS3" s="77" t="s">
        <v>85</v>
      </c>
      <c r="BT3" s="77" t="s">
        <v>56</v>
      </c>
      <c r="BU3" s="80" t="s">
        <v>86</v>
      </c>
      <c r="BV3" s="364"/>
      <c r="BW3" s="364"/>
      <c r="BX3" s="364"/>
      <c r="BY3" s="365"/>
      <c r="BZ3" s="77" t="s">
        <v>59</v>
      </c>
      <c r="CA3" s="77" t="s">
        <v>60</v>
      </c>
      <c r="CB3" s="79" t="s">
        <v>61</v>
      </c>
      <c r="CC3" s="78" t="s">
        <v>62</v>
      </c>
      <c r="CD3" s="77" t="s">
        <v>63</v>
      </c>
      <c r="CE3" s="77" t="s">
        <v>64</v>
      </c>
      <c r="CF3" s="79" t="s">
        <v>51</v>
      </c>
      <c r="CG3" s="82" t="s">
        <v>52</v>
      </c>
      <c r="CH3" s="83" t="s">
        <v>84</v>
      </c>
      <c r="CI3" s="82" t="s">
        <v>54</v>
      </c>
      <c r="CJ3" s="84" t="s">
        <v>55</v>
      </c>
      <c r="CK3" s="82" t="s">
        <v>56</v>
      </c>
      <c r="CL3" s="85" t="s">
        <v>57</v>
      </c>
      <c r="CM3" s="82" t="s">
        <v>58</v>
      </c>
      <c r="CN3" s="82" t="s">
        <v>59</v>
      </c>
      <c r="CO3" s="82" t="s">
        <v>125</v>
      </c>
      <c r="CP3" s="85" t="s">
        <v>51</v>
      </c>
      <c r="CQ3" s="82" t="s">
        <v>47</v>
      </c>
      <c r="CR3" s="82" t="s">
        <v>48</v>
      </c>
      <c r="CS3" s="82" t="s">
        <v>49</v>
      </c>
      <c r="CT3" s="82" t="s">
        <v>50</v>
      </c>
      <c r="CU3" s="82" t="s">
        <v>51</v>
      </c>
      <c r="CV3" s="82" t="s">
        <v>65</v>
      </c>
    </row>
    <row r="4" spans="1:101" ht="11.4" thickTop="1" thickBot="1" x14ac:dyDescent="0.25">
      <c r="A4" s="94" t="s">
        <v>66</v>
      </c>
      <c r="B4" s="94" t="s">
        <v>67</v>
      </c>
      <c r="C4" s="94" t="s">
        <v>68</v>
      </c>
      <c r="D4" s="94" t="s">
        <v>69</v>
      </c>
      <c r="E4" s="94" t="s">
        <v>70</v>
      </c>
      <c r="F4" s="94" t="s">
        <v>71</v>
      </c>
      <c r="G4" s="94" t="s">
        <v>72</v>
      </c>
      <c r="H4" s="94" t="s">
        <v>73</v>
      </c>
      <c r="I4" s="94" t="s">
        <v>74</v>
      </c>
      <c r="J4" s="94" t="s">
        <v>75</v>
      </c>
      <c r="K4" s="94" t="s">
        <v>76</v>
      </c>
      <c r="L4" s="94" t="s">
        <v>77</v>
      </c>
      <c r="M4" s="94" t="s">
        <v>78</v>
      </c>
      <c r="N4" s="94" t="s">
        <v>79</v>
      </c>
      <c r="O4" s="94" t="s">
        <v>80</v>
      </c>
      <c r="P4" s="94" t="s">
        <v>81</v>
      </c>
      <c r="Q4" s="94" t="s">
        <v>82</v>
      </c>
      <c r="R4" s="94" t="s">
        <v>83</v>
      </c>
      <c r="S4" s="98" t="s">
        <v>52</v>
      </c>
      <c r="T4" s="98" t="s">
        <v>84</v>
      </c>
      <c r="U4" s="98" t="s">
        <v>54</v>
      </c>
      <c r="V4" s="98" t="s">
        <v>85</v>
      </c>
      <c r="W4" s="98" t="s">
        <v>56</v>
      </c>
      <c r="X4" s="98" t="s">
        <v>86</v>
      </c>
      <c r="Y4" s="98" t="s">
        <v>58</v>
      </c>
      <c r="Z4" s="98" t="s">
        <v>59</v>
      </c>
      <c r="AA4" s="98" t="s">
        <v>60</v>
      </c>
      <c r="AB4" s="98" t="s">
        <v>61</v>
      </c>
      <c r="AC4" s="98" t="s">
        <v>62</v>
      </c>
      <c r="AD4" s="98" t="s">
        <v>63</v>
      </c>
      <c r="AE4" s="98" t="s">
        <v>64</v>
      </c>
      <c r="AF4" s="98" t="s">
        <v>51</v>
      </c>
      <c r="AG4" s="98" t="s">
        <v>87</v>
      </c>
      <c r="AH4" s="98" t="s">
        <v>88</v>
      </c>
      <c r="AI4" s="98" t="s">
        <v>89</v>
      </c>
      <c r="AJ4" s="98" t="s">
        <v>90</v>
      </c>
      <c r="AK4" s="98" t="s">
        <v>91</v>
      </c>
      <c r="AL4" s="98" t="s">
        <v>92</v>
      </c>
      <c r="AM4" s="98" t="s">
        <v>93</v>
      </c>
      <c r="AN4" s="98" t="s">
        <v>94</v>
      </c>
      <c r="AO4" s="98" t="s">
        <v>95</v>
      </c>
      <c r="AP4" s="98" t="s">
        <v>96</v>
      </c>
      <c r="AQ4" s="98" t="s">
        <v>99</v>
      </c>
      <c r="AR4" s="98" t="s">
        <v>98</v>
      </c>
      <c r="AS4" s="98" t="s">
        <v>97</v>
      </c>
      <c r="AT4" s="98" t="s">
        <v>141</v>
      </c>
      <c r="AU4" s="98" t="s">
        <v>101</v>
      </c>
      <c r="AV4" s="98" t="s">
        <v>102</v>
      </c>
      <c r="AW4" s="98" t="s">
        <v>103</v>
      </c>
      <c r="AX4" s="98" t="s">
        <v>104</v>
      </c>
      <c r="AY4" s="98" t="s">
        <v>105</v>
      </c>
      <c r="AZ4" s="98" t="s">
        <v>106</v>
      </c>
      <c r="BA4" s="98" t="s">
        <v>107</v>
      </c>
      <c r="BB4" s="98" t="s">
        <v>108</v>
      </c>
      <c r="BC4" s="98" t="s">
        <v>109</v>
      </c>
      <c r="BD4" s="98" t="s">
        <v>110</v>
      </c>
      <c r="BE4" s="98" t="s">
        <v>111</v>
      </c>
      <c r="BF4" s="98" t="s">
        <v>112</v>
      </c>
      <c r="BG4" s="98" t="s">
        <v>113</v>
      </c>
      <c r="BH4" s="98" t="s">
        <v>114</v>
      </c>
      <c r="BI4" s="98" t="s">
        <v>115</v>
      </c>
      <c r="BJ4" s="98" t="s">
        <v>116</v>
      </c>
      <c r="BK4" s="98" t="s">
        <v>117</v>
      </c>
      <c r="BL4" s="98" t="s">
        <v>118</v>
      </c>
      <c r="BM4" s="98" t="s">
        <v>119</v>
      </c>
      <c r="BN4" s="98" t="s">
        <v>120</v>
      </c>
      <c r="BO4" s="98" t="s">
        <v>142</v>
      </c>
      <c r="BP4" s="99" t="s">
        <v>143</v>
      </c>
      <c r="BQ4" s="99" t="s">
        <v>144</v>
      </c>
      <c r="BR4" s="99" t="s">
        <v>145</v>
      </c>
      <c r="BS4" s="99" t="s">
        <v>146</v>
      </c>
      <c r="BT4" s="99" t="s">
        <v>147</v>
      </c>
      <c r="BU4" s="99" t="s">
        <v>148</v>
      </c>
      <c r="BV4" s="99" t="s">
        <v>149</v>
      </c>
      <c r="BW4" s="99" t="s">
        <v>122</v>
      </c>
      <c r="BX4" s="99" t="s">
        <v>123</v>
      </c>
      <c r="BY4" s="99" t="s">
        <v>124</v>
      </c>
      <c r="BZ4" s="99" t="s">
        <v>150</v>
      </c>
      <c r="CA4" s="99" t="s">
        <v>151</v>
      </c>
      <c r="CB4" s="99" t="s">
        <v>152</v>
      </c>
      <c r="CC4" s="99" t="s">
        <v>153</v>
      </c>
      <c r="CD4" s="99" t="s">
        <v>154</v>
      </c>
      <c r="CE4" s="99" t="s">
        <v>155</v>
      </c>
      <c r="CF4" s="99" t="s">
        <v>156</v>
      </c>
      <c r="CG4" s="100" t="s">
        <v>157</v>
      </c>
      <c r="CH4" s="100" t="s">
        <v>158</v>
      </c>
      <c r="CI4" s="100" t="s">
        <v>159</v>
      </c>
      <c r="CJ4" s="100" t="s">
        <v>55</v>
      </c>
      <c r="CK4" s="100" t="s">
        <v>160</v>
      </c>
      <c r="CL4" s="100" t="s">
        <v>57</v>
      </c>
      <c r="CM4" s="100" t="s">
        <v>161</v>
      </c>
      <c r="CN4" s="100" t="s">
        <v>162</v>
      </c>
      <c r="CO4" s="100" t="s">
        <v>125</v>
      </c>
      <c r="CP4" s="100" t="s">
        <v>163</v>
      </c>
      <c r="CQ4" s="100" t="s">
        <v>47</v>
      </c>
      <c r="CR4" s="100" t="s">
        <v>48</v>
      </c>
      <c r="CS4" s="100" t="s">
        <v>49</v>
      </c>
      <c r="CT4" s="100" t="s">
        <v>50</v>
      </c>
      <c r="CU4" s="100" t="s">
        <v>164</v>
      </c>
      <c r="CV4" s="100" t="s">
        <v>65</v>
      </c>
    </row>
    <row r="5" spans="1:101" ht="10.8" thickTop="1" x14ac:dyDescent="0.2">
      <c r="A5" s="95">
        <v>0</v>
      </c>
      <c r="B5" s="95">
        <v>0</v>
      </c>
      <c r="C5" s="95" t="s">
        <v>165</v>
      </c>
      <c r="D5" s="95" t="s">
        <v>165</v>
      </c>
      <c r="E5" s="95" t="s">
        <v>165</v>
      </c>
      <c r="F5" s="95">
        <v>0</v>
      </c>
      <c r="G5" s="95">
        <v>0</v>
      </c>
      <c r="H5" s="95">
        <v>0</v>
      </c>
      <c r="I5" s="95">
        <v>0</v>
      </c>
      <c r="J5" s="95">
        <v>0</v>
      </c>
      <c r="K5" s="96">
        <v>0</v>
      </c>
      <c r="L5" s="95">
        <v>0</v>
      </c>
      <c r="M5" s="95">
        <v>0</v>
      </c>
      <c r="N5" s="95">
        <v>0</v>
      </c>
      <c r="O5" s="95">
        <v>0</v>
      </c>
      <c r="P5" s="95">
        <v>0</v>
      </c>
      <c r="Q5" s="95">
        <v>0</v>
      </c>
      <c r="R5" s="95">
        <v>0</v>
      </c>
      <c r="S5" s="95" t="s">
        <v>166</v>
      </c>
      <c r="T5" s="95" t="s">
        <v>166</v>
      </c>
      <c r="U5" s="95" t="s">
        <v>167</v>
      </c>
      <c r="V5" s="95" t="s">
        <v>166</v>
      </c>
      <c r="W5" s="95" t="s">
        <v>166</v>
      </c>
      <c r="X5" s="95" t="s">
        <v>166</v>
      </c>
      <c r="Y5" s="95" t="s">
        <v>166</v>
      </c>
      <c r="Z5" s="95" t="s">
        <v>166</v>
      </c>
      <c r="AA5" s="95" t="s">
        <v>166</v>
      </c>
      <c r="AB5" s="95" t="s">
        <v>166</v>
      </c>
      <c r="AC5" s="95" t="s">
        <v>166</v>
      </c>
      <c r="AD5" s="95" t="s">
        <v>166</v>
      </c>
      <c r="AE5" s="95" t="s">
        <v>166</v>
      </c>
      <c r="AF5" s="95" t="s">
        <v>166</v>
      </c>
      <c r="AG5" s="95" t="b">
        <v>0</v>
      </c>
      <c r="AH5" s="95" t="b">
        <v>0</v>
      </c>
      <c r="AI5" s="95" t="b">
        <v>0</v>
      </c>
      <c r="AJ5" s="95" t="b">
        <v>0</v>
      </c>
      <c r="AK5" s="95" t="b">
        <v>0</v>
      </c>
      <c r="AL5" s="95" t="b">
        <v>0</v>
      </c>
      <c r="AM5" s="95" t="b">
        <v>1</v>
      </c>
      <c r="AN5" s="95" t="b">
        <v>0</v>
      </c>
      <c r="AO5" s="95" t="b">
        <v>0</v>
      </c>
      <c r="AP5" s="95" t="b">
        <v>0</v>
      </c>
      <c r="AQ5" s="95" t="b">
        <v>0</v>
      </c>
      <c r="AR5" s="95" t="b">
        <v>0</v>
      </c>
      <c r="AS5" s="95" t="b">
        <v>0</v>
      </c>
      <c r="AT5" s="95" t="b">
        <v>0</v>
      </c>
      <c r="AU5" s="95">
        <v>0</v>
      </c>
      <c r="AV5" s="95" t="b">
        <v>0</v>
      </c>
      <c r="AW5" s="95" t="b">
        <v>0</v>
      </c>
      <c r="AX5" s="95">
        <v>0</v>
      </c>
      <c r="AY5" s="95">
        <v>0</v>
      </c>
      <c r="AZ5" s="95">
        <v>0</v>
      </c>
      <c r="BA5" s="95">
        <v>0</v>
      </c>
      <c r="BB5" s="95">
        <v>0</v>
      </c>
      <c r="BC5" s="95">
        <v>0</v>
      </c>
      <c r="BD5" s="95">
        <v>0</v>
      </c>
      <c r="BE5" s="95">
        <v>0</v>
      </c>
      <c r="BF5" s="95">
        <v>0</v>
      </c>
      <c r="BG5" s="95">
        <v>0</v>
      </c>
      <c r="BH5" s="95">
        <v>0</v>
      </c>
      <c r="BI5" s="95">
        <v>0</v>
      </c>
      <c r="BJ5" s="95">
        <v>0</v>
      </c>
      <c r="BK5" s="95">
        <v>0</v>
      </c>
      <c r="BL5" s="95">
        <v>0</v>
      </c>
      <c r="BM5" s="95">
        <v>0</v>
      </c>
      <c r="BN5" s="95">
        <v>0</v>
      </c>
      <c r="BO5" s="95" t="s">
        <v>165</v>
      </c>
      <c r="BP5" s="95">
        <v>0</v>
      </c>
      <c r="BQ5" s="95">
        <v>0</v>
      </c>
      <c r="BR5" s="95">
        <v>0</v>
      </c>
      <c r="BS5" s="95">
        <v>0</v>
      </c>
      <c r="BT5" s="95">
        <v>0</v>
      </c>
      <c r="BU5" s="95">
        <v>0</v>
      </c>
      <c r="BV5" s="95">
        <v>0</v>
      </c>
      <c r="BW5" s="95" t="b">
        <v>0</v>
      </c>
      <c r="BX5" s="95" t="b">
        <v>0</v>
      </c>
      <c r="BY5" s="95" t="b">
        <v>0</v>
      </c>
      <c r="BZ5" s="95">
        <v>0</v>
      </c>
      <c r="CA5" s="95">
        <v>0</v>
      </c>
      <c r="CB5" s="95">
        <v>0</v>
      </c>
      <c r="CC5" s="95">
        <v>0</v>
      </c>
      <c r="CD5" s="95">
        <v>0</v>
      </c>
      <c r="CE5" s="95">
        <v>0</v>
      </c>
      <c r="CF5" s="95">
        <v>0</v>
      </c>
      <c r="CG5" s="97">
        <v>0.1</v>
      </c>
      <c r="CH5" s="97">
        <v>0.1</v>
      </c>
      <c r="CI5" s="97">
        <v>0.1</v>
      </c>
      <c r="CJ5" s="97">
        <v>0.1</v>
      </c>
      <c r="CK5" s="97">
        <v>0.1</v>
      </c>
      <c r="CL5" s="97">
        <v>0.05</v>
      </c>
      <c r="CM5" s="97">
        <v>0.05</v>
      </c>
      <c r="CN5" s="97">
        <v>0.05</v>
      </c>
      <c r="CO5" s="97">
        <v>0.15</v>
      </c>
      <c r="CP5" s="97">
        <v>0</v>
      </c>
      <c r="CQ5" s="97">
        <v>0.2</v>
      </c>
      <c r="CR5" s="97">
        <v>0.30000000000000004</v>
      </c>
      <c r="CS5" s="97">
        <v>0.1</v>
      </c>
      <c r="CT5" s="97">
        <v>0.2</v>
      </c>
      <c r="CU5" s="97">
        <v>0</v>
      </c>
      <c r="CV5" s="97">
        <v>1</v>
      </c>
    </row>
    <row r="6" spans="1:101" x14ac:dyDescent="0.2">
      <c r="A6" s="95">
        <v>0</v>
      </c>
      <c r="B6" s="95">
        <v>0</v>
      </c>
      <c r="C6" s="95" t="s">
        <v>168</v>
      </c>
      <c r="D6" s="95" t="s">
        <v>169</v>
      </c>
      <c r="E6" s="95" t="s">
        <v>170</v>
      </c>
      <c r="F6" s="95">
        <v>0</v>
      </c>
      <c r="G6" s="95">
        <v>0</v>
      </c>
      <c r="H6" s="95">
        <v>0</v>
      </c>
      <c r="I6" s="95">
        <v>0</v>
      </c>
      <c r="J6" s="95">
        <v>0</v>
      </c>
      <c r="K6" s="96">
        <v>0</v>
      </c>
      <c r="L6" s="95">
        <v>0</v>
      </c>
      <c r="M6" s="95">
        <v>0</v>
      </c>
      <c r="N6" s="95">
        <v>0</v>
      </c>
      <c r="O6" s="95">
        <v>0</v>
      </c>
      <c r="P6" s="95">
        <v>0</v>
      </c>
      <c r="Q6" s="95" t="s">
        <v>171</v>
      </c>
      <c r="R6" s="95">
        <v>0</v>
      </c>
      <c r="S6" s="95" t="s">
        <v>166</v>
      </c>
      <c r="T6" s="95" t="s">
        <v>166</v>
      </c>
      <c r="U6" s="95" t="s">
        <v>166</v>
      </c>
      <c r="V6" s="95" t="s">
        <v>167</v>
      </c>
      <c r="W6" s="95" t="s">
        <v>166</v>
      </c>
      <c r="X6" s="95" t="s">
        <v>167</v>
      </c>
      <c r="Y6" s="95" t="s">
        <v>166</v>
      </c>
      <c r="Z6" s="95" t="s">
        <v>167</v>
      </c>
      <c r="AA6" s="95" t="s">
        <v>167</v>
      </c>
      <c r="AB6" s="95" t="s">
        <v>166</v>
      </c>
      <c r="AC6" s="95" t="s">
        <v>166</v>
      </c>
      <c r="AD6" s="95" t="s">
        <v>167</v>
      </c>
      <c r="AE6" s="95" t="s">
        <v>167</v>
      </c>
      <c r="AF6" s="95" t="s">
        <v>166</v>
      </c>
      <c r="AG6" s="95">
        <v>0</v>
      </c>
      <c r="AH6" s="95">
        <v>0</v>
      </c>
      <c r="AI6" s="95">
        <v>0</v>
      </c>
      <c r="AJ6" s="95">
        <v>0</v>
      </c>
      <c r="AK6" s="95">
        <v>0</v>
      </c>
      <c r="AL6" s="95">
        <v>0</v>
      </c>
      <c r="AM6" s="95">
        <v>0</v>
      </c>
      <c r="AN6" s="95">
        <v>0</v>
      </c>
      <c r="AO6" s="95">
        <v>0</v>
      </c>
      <c r="AP6" s="95">
        <v>0</v>
      </c>
      <c r="AQ6" s="95" t="b">
        <v>1</v>
      </c>
      <c r="AR6" s="95" t="b">
        <v>1</v>
      </c>
      <c r="AS6" s="95">
        <v>0</v>
      </c>
      <c r="AT6" s="95" t="b">
        <v>1</v>
      </c>
      <c r="AU6" s="95">
        <v>0</v>
      </c>
      <c r="AV6" s="95">
        <v>0</v>
      </c>
      <c r="AW6" s="95">
        <v>0</v>
      </c>
      <c r="AX6" s="95">
        <v>0</v>
      </c>
      <c r="AY6" s="95">
        <v>0</v>
      </c>
      <c r="AZ6" s="95">
        <v>0</v>
      </c>
      <c r="BA6" s="95">
        <v>0</v>
      </c>
      <c r="BB6" s="95">
        <v>0</v>
      </c>
      <c r="BC6" s="95">
        <v>0</v>
      </c>
      <c r="BD6" s="95" t="b">
        <v>1</v>
      </c>
      <c r="BE6" s="95" t="b">
        <v>1</v>
      </c>
      <c r="BF6" s="95">
        <v>0</v>
      </c>
      <c r="BG6" s="95">
        <v>0</v>
      </c>
      <c r="BH6" s="95" t="b">
        <v>1</v>
      </c>
      <c r="BI6" s="95" t="b">
        <v>1</v>
      </c>
      <c r="BJ6" s="95" t="b">
        <v>1</v>
      </c>
      <c r="BK6" s="95">
        <v>0</v>
      </c>
      <c r="BL6" s="95">
        <v>0</v>
      </c>
      <c r="BM6" s="95" t="b">
        <v>1</v>
      </c>
      <c r="BN6" s="95" t="b">
        <v>1</v>
      </c>
      <c r="BO6" s="95" t="s">
        <v>165</v>
      </c>
      <c r="BP6" s="95">
        <v>0</v>
      </c>
      <c r="BQ6" s="95">
        <v>0</v>
      </c>
      <c r="BR6" s="95">
        <v>0</v>
      </c>
      <c r="BS6" s="95">
        <v>0</v>
      </c>
      <c r="BT6" s="95">
        <v>0</v>
      </c>
      <c r="BU6" s="95">
        <v>0</v>
      </c>
      <c r="BV6" s="95">
        <v>0</v>
      </c>
      <c r="BW6" s="95">
        <v>0</v>
      </c>
      <c r="BX6" s="95">
        <v>0</v>
      </c>
      <c r="BY6" s="95">
        <v>0</v>
      </c>
      <c r="BZ6" s="95">
        <v>0</v>
      </c>
      <c r="CA6" s="95">
        <v>0</v>
      </c>
      <c r="CB6" s="95">
        <v>0</v>
      </c>
      <c r="CC6" s="95">
        <v>0</v>
      </c>
      <c r="CD6" s="95">
        <v>0</v>
      </c>
      <c r="CE6" s="95">
        <v>0</v>
      </c>
      <c r="CF6" s="95">
        <v>0</v>
      </c>
      <c r="CG6" s="97">
        <v>0.1</v>
      </c>
      <c r="CH6" s="97">
        <v>0.1</v>
      </c>
      <c r="CI6" s="97">
        <v>0.1</v>
      </c>
      <c r="CJ6" s="97">
        <v>0.1</v>
      </c>
      <c r="CK6" s="97">
        <v>0.1</v>
      </c>
      <c r="CL6" s="97">
        <v>0.05</v>
      </c>
      <c r="CM6" s="97">
        <v>0.05</v>
      </c>
      <c r="CN6" s="97">
        <v>0</v>
      </c>
      <c r="CO6" s="97">
        <v>0</v>
      </c>
      <c r="CP6" s="97">
        <v>0</v>
      </c>
      <c r="CQ6" s="97">
        <v>0.2</v>
      </c>
      <c r="CR6" s="97">
        <v>0.30000000000000004</v>
      </c>
      <c r="CS6" s="97">
        <v>0.1</v>
      </c>
      <c r="CT6" s="97">
        <v>0</v>
      </c>
      <c r="CU6" s="97">
        <v>0</v>
      </c>
      <c r="CV6" s="97">
        <v>0.73333333333333339</v>
      </c>
    </row>
    <row r="7" spans="1:101" x14ac:dyDescent="0.2">
      <c r="A7" s="95">
        <v>0</v>
      </c>
      <c r="B7" s="95">
        <v>0</v>
      </c>
      <c r="C7" s="95" t="s">
        <v>165</v>
      </c>
      <c r="D7" s="95">
        <v>0</v>
      </c>
      <c r="E7" s="95" t="s">
        <v>165</v>
      </c>
      <c r="F7" s="95">
        <v>0</v>
      </c>
      <c r="G7" s="95" t="e">
        <v>#DIV/0!</v>
      </c>
      <c r="H7" s="95">
        <v>0</v>
      </c>
      <c r="I7" s="95">
        <v>0</v>
      </c>
      <c r="J7" s="95" t="s">
        <v>6</v>
      </c>
      <c r="K7" s="96">
        <v>0</v>
      </c>
      <c r="L7" s="95">
        <v>0</v>
      </c>
      <c r="M7" s="95">
        <v>0</v>
      </c>
      <c r="N7" s="95">
        <v>0</v>
      </c>
      <c r="O7" s="95">
        <v>0</v>
      </c>
      <c r="P7" s="95">
        <v>0</v>
      </c>
      <c r="Q7" s="95">
        <v>0</v>
      </c>
      <c r="R7" s="95">
        <v>0</v>
      </c>
      <c r="S7" s="95" t="e">
        <v>#REF!</v>
      </c>
      <c r="T7" s="95" t="e">
        <v>#REF!</v>
      </c>
      <c r="U7" s="95" t="s">
        <v>166</v>
      </c>
      <c r="V7" s="95" t="s">
        <v>166</v>
      </c>
      <c r="W7" s="95" t="s">
        <v>166</v>
      </c>
      <c r="X7" s="95" t="s">
        <v>166</v>
      </c>
      <c r="Y7" s="95" t="s">
        <v>166</v>
      </c>
      <c r="Z7" s="95" t="s">
        <v>166</v>
      </c>
      <c r="AA7" s="95" t="s">
        <v>166</v>
      </c>
      <c r="AB7" s="95" t="s">
        <v>166</v>
      </c>
      <c r="AC7" s="95" t="s">
        <v>166</v>
      </c>
      <c r="AD7" s="95" t="s">
        <v>166</v>
      </c>
      <c r="AE7" s="95" t="s">
        <v>166</v>
      </c>
      <c r="AF7" s="95" t="s">
        <v>166</v>
      </c>
      <c r="AG7" s="95" t="b">
        <v>0</v>
      </c>
      <c r="AH7" s="95" t="b">
        <v>0</v>
      </c>
      <c r="AI7" s="95" t="b">
        <v>0</v>
      </c>
      <c r="AJ7" s="95" t="b">
        <v>0</v>
      </c>
      <c r="AK7" s="95" t="b">
        <v>0</v>
      </c>
      <c r="AL7" s="95" t="b">
        <v>0</v>
      </c>
      <c r="AM7" s="95" t="b">
        <v>0</v>
      </c>
      <c r="AN7" s="95" t="b">
        <v>0</v>
      </c>
      <c r="AO7" s="95" t="b">
        <v>0</v>
      </c>
      <c r="AP7" s="95" t="b">
        <v>0</v>
      </c>
      <c r="AQ7" s="95" t="b">
        <v>0</v>
      </c>
      <c r="AR7" s="95" t="b">
        <v>0</v>
      </c>
      <c r="AS7" s="95" t="b">
        <v>0</v>
      </c>
      <c r="AT7" s="95" t="b">
        <v>0</v>
      </c>
      <c r="AU7" s="95" t="b">
        <v>0</v>
      </c>
      <c r="AV7" s="95" t="b">
        <v>0</v>
      </c>
      <c r="AW7" s="95" t="b">
        <v>0</v>
      </c>
      <c r="AX7" s="95" t="b">
        <v>0</v>
      </c>
      <c r="AY7" s="95" t="b">
        <v>0</v>
      </c>
      <c r="AZ7" s="95" t="b">
        <v>0</v>
      </c>
      <c r="BA7" s="95" t="b">
        <v>0</v>
      </c>
      <c r="BB7" s="95" t="b">
        <v>0</v>
      </c>
      <c r="BC7" s="95" t="b">
        <v>0</v>
      </c>
      <c r="BD7" s="95" t="b">
        <v>0</v>
      </c>
      <c r="BE7" s="95" t="b">
        <v>0</v>
      </c>
      <c r="BF7" s="95" t="b">
        <v>0</v>
      </c>
      <c r="BG7" s="95">
        <v>0</v>
      </c>
      <c r="BH7" s="95" t="b">
        <v>0</v>
      </c>
      <c r="BI7" s="95" t="b">
        <v>0</v>
      </c>
      <c r="BJ7" s="95" t="b">
        <v>0</v>
      </c>
      <c r="BK7" s="95" t="b">
        <v>0</v>
      </c>
      <c r="BL7" s="95" t="b">
        <v>0</v>
      </c>
      <c r="BM7" s="95" t="b">
        <v>0</v>
      </c>
      <c r="BN7" s="95" t="b">
        <v>0</v>
      </c>
      <c r="BO7" s="95" t="s">
        <v>165</v>
      </c>
      <c r="BP7" s="95">
        <v>0</v>
      </c>
      <c r="BQ7" s="95">
        <v>0</v>
      </c>
      <c r="BR7" s="95">
        <v>0</v>
      </c>
      <c r="BS7" s="95">
        <v>0</v>
      </c>
      <c r="BT7" s="95">
        <v>0</v>
      </c>
      <c r="BU7" s="95">
        <v>0</v>
      </c>
      <c r="BV7" s="95">
        <v>0</v>
      </c>
      <c r="BW7" s="95">
        <v>0</v>
      </c>
      <c r="BX7" s="95">
        <v>0</v>
      </c>
      <c r="BY7" s="95">
        <v>0</v>
      </c>
      <c r="BZ7" s="95">
        <v>0</v>
      </c>
      <c r="CA7" s="95">
        <v>0</v>
      </c>
      <c r="CB7" s="95">
        <v>0</v>
      </c>
      <c r="CC7" s="95">
        <v>0</v>
      </c>
      <c r="CD7" s="95">
        <v>0</v>
      </c>
      <c r="CE7" s="95">
        <v>0</v>
      </c>
      <c r="CF7" s="95">
        <v>0</v>
      </c>
      <c r="CG7" s="95">
        <v>0.1</v>
      </c>
      <c r="CH7" s="95">
        <v>0.1</v>
      </c>
      <c r="CI7" s="95">
        <v>0.1</v>
      </c>
      <c r="CJ7" s="95">
        <v>0.1</v>
      </c>
      <c r="CK7" s="95">
        <v>0.05</v>
      </c>
      <c r="CL7" s="95">
        <v>0.05</v>
      </c>
      <c r="CM7" s="97">
        <v>0.05</v>
      </c>
      <c r="CN7" s="97">
        <v>0.05</v>
      </c>
      <c r="CO7" s="97">
        <v>0.15</v>
      </c>
      <c r="CP7" s="97">
        <v>0</v>
      </c>
      <c r="CQ7" s="97">
        <v>0.2</v>
      </c>
      <c r="CR7" s="97">
        <v>0.25</v>
      </c>
      <c r="CS7" s="97">
        <v>0.1</v>
      </c>
      <c r="CT7" s="97">
        <v>0.2</v>
      </c>
      <c r="CU7" s="97">
        <v>0</v>
      </c>
      <c r="CV7" s="97">
        <v>1</v>
      </c>
    </row>
    <row r="8" spans="1:101" x14ac:dyDescent="0.2">
      <c r="A8" s="95">
        <v>0</v>
      </c>
      <c r="B8" s="95">
        <v>0</v>
      </c>
      <c r="C8" s="95" t="s">
        <v>165</v>
      </c>
      <c r="D8" s="95">
        <v>0</v>
      </c>
      <c r="E8" s="95" t="s">
        <v>165</v>
      </c>
      <c r="F8" s="95">
        <v>0</v>
      </c>
      <c r="G8" s="95" t="e">
        <v>#DIV/0!</v>
      </c>
      <c r="H8" s="95">
        <v>0</v>
      </c>
      <c r="I8" s="95">
        <v>0</v>
      </c>
      <c r="J8" s="95">
        <v>0</v>
      </c>
      <c r="K8" s="96">
        <v>44483</v>
      </c>
      <c r="L8" s="95">
        <v>0</v>
      </c>
      <c r="M8" s="95">
        <v>0</v>
      </c>
      <c r="N8" s="95">
        <v>0</v>
      </c>
      <c r="O8" s="95">
        <v>0</v>
      </c>
      <c r="P8" s="95">
        <v>0</v>
      </c>
      <c r="Q8" s="95">
        <v>0</v>
      </c>
      <c r="R8" s="95">
        <v>0</v>
      </c>
      <c r="S8" s="95" t="e">
        <v>#REF!</v>
      </c>
      <c r="T8" s="95" t="e">
        <v>#REF!</v>
      </c>
      <c r="U8" s="95" t="s">
        <v>166</v>
      </c>
      <c r="V8" s="95" t="s">
        <v>166</v>
      </c>
      <c r="W8" s="95" t="s">
        <v>166</v>
      </c>
      <c r="X8" s="95" t="s">
        <v>166</v>
      </c>
      <c r="Y8" s="95" t="s">
        <v>166</v>
      </c>
      <c r="Z8" s="95" t="s">
        <v>166</v>
      </c>
      <c r="AA8" s="95" t="s">
        <v>166</v>
      </c>
      <c r="AB8" s="95" t="s">
        <v>166</v>
      </c>
      <c r="AC8" s="95" t="s">
        <v>166</v>
      </c>
      <c r="AD8" s="95" t="s">
        <v>166</v>
      </c>
      <c r="AE8" s="95" t="s">
        <v>166</v>
      </c>
      <c r="AF8" s="95" t="s">
        <v>166</v>
      </c>
      <c r="AG8" s="95">
        <v>0</v>
      </c>
      <c r="AH8" s="95">
        <v>0</v>
      </c>
      <c r="AI8" s="95">
        <v>0</v>
      </c>
      <c r="AJ8" s="95">
        <v>0</v>
      </c>
      <c r="AK8" s="95">
        <v>0</v>
      </c>
      <c r="AL8" s="95">
        <v>0</v>
      </c>
      <c r="AM8" s="95">
        <v>0</v>
      </c>
      <c r="AN8" s="95">
        <v>0</v>
      </c>
      <c r="AO8" s="95">
        <v>0</v>
      </c>
      <c r="AP8" s="95">
        <v>0</v>
      </c>
      <c r="AQ8" s="95">
        <v>0</v>
      </c>
      <c r="AR8" s="95">
        <v>0</v>
      </c>
      <c r="AS8" s="95">
        <v>0</v>
      </c>
      <c r="AT8" s="95">
        <v>0</v>
      </c>
      <c r="AU8" s="95">
        <v>0</v>
      </c>
      <c r="AV8" s="95">
        <v>0</v>
      </c>
      <c r="AW8" s="95">
        <v>0</v>
      </c>
      <c r="AX8" s="95">
        <v>0</v>
      </c>
      <c r="AY8" s="95">
        <v>0</v>
      </c>
      <c r="AZ8" s="95">
        <v>0</v>
      </c>
      <c r="BA8" s="95">
        <v>0</v>
      </c>
      <c r="BB8" s="95">
        <v>0</v>
      </c>
      <c r="BC8" s="95">
        <v>0</v>
      </c>
      <c r="BD8" s="95">
        <v>0</v>
      </c>
      <c r="BE8" s="95">
        <v>0</v>
      </c>
      <c r="BF8" s="95">
        <v>0</v>
      </c>
      <c r="BG8" s="95">
        <v>0</v>
      </c>
      <c r="BH8" s="95" t="b">
        <v>0</v>
      </c>
      <c r="BI8" s="95" t="b">
        <v>0</v>
      </c>
      <c r="BJ8" s="95" t="b">
        <v>0</v>
      </c>
      <c r="BK8" s="95" t="b">
        <v>0</v>
      </c>
      <c r="BL8" s="95" t="b">
        <v>0</v>
      </c>
      <c r="BM8" s="95" t="b">
        <v>0</v>
      </c>
      <c r="BN8" s="95" t="b">
        <v>0</v>
      </c>
      <c r="BO8" s="95" t="s">
        <v>165</v>
      </c>
      <c r="BP8" s="95">
        <v>0</v>
      </c>
      <c r="BQ8" s="95">
        <v>0</v>
      </c>
      <c r="BR8" s="95">
        <v>0</v>
      </c>
      <c r="BS8" s="95">
        <v>0</v>
      </c>
      <c r="BT8" s="95">
        <v>0</v>
      </c>
      <c r="BU8" s="95">
        <v>0</v>
      </c>
      <c r="BV8" s="95">
        <v>0</v>
      </c>
      <c r="BW8" s="95">
        <v>0</v>
      </c>
      <c r="BX8" s="95">
        <v>0</v>
      </c>
      <c r="BY8" s="95">
        <v>0</v>
      </c>
      <c r="BZ8" s="95">
        <v>0</v>
      </c>
      <c r="CA8" s="95">
        <v>0</v>
      </c>
      <c r="CB8" s="95">
        <v>0</v>
      </c>
      <c r="CC8" s="95">
        <v>0</v>
      </c>
      <c r="CD8" s="95">
        <v>0</v>
      </c>
      <c r="CE8" s="95">
        <v>0</v>
      </c>
      <c r="CF8" s="95">
        <v>0</v>
      </c>
      <c r="CG8" s="95">
        <v>0.1</v>
      </c>
      <c r="CH8" s="95">
        <v>0.1</v>
      </c>
      <c r="CI8" s="95">
        <v>0.1</v>
      </c>
      <c r="CJ8" s="95">
        <v>0.1</v>
      </c>
      <c r="CK8" s="95">
        <v>0.05</v>
      </c>
      <c r="CL8" s="95">
        <v>0.05</v>
      </c>
      <c r="CM8" s="97">
        <v>0.05</v>
      </c>
      <c r="CN8" s="97">
        <v>0.05</v>
      </c>
      <c r="CO8" s="97">
        <v>0.15</v>
      </c>
      <c r="CP8" s="97">
        <v>0</v>
      </c>
      <c r="CQ8" s="97">
        <v>0.2</v>
      </c>
      <c r="CR8" s="97">
        <v>0.25</v>
      </c>
      <c r="CS8" s="97">
        <v>0.1</v>
      </c>
      <c r="CT8" s="97">
        <v>0.2</v>
      </c>
      <c r="CU8" s="97">
        <v>0</v>
      </c>
      <c r="CV8" s="97">
        <v>1</v>
      </c>
    </row>
    <row r="9" spans="1:101" x14ac:dyDescent="0.2">
      <c r="A9" s="95">
        <v>0</v>
      </c>
      <c r="B9" s="95">
        <v>0</v>
      </c>
      <c r="C9" s="95" t="s">
        <v>165</v>
      </c>
      <c r="D9" s="95">
        <v>0</v>
      </c>
      <c r="E9" s="95" t="s">
        <v>165</v>
      </c>
      <c r="F9" s="95">
        <v>0</v>
      </c>
      <c r="G9" s="95">
        <v>4.8</v>
      </c>
      <c r="H9" s="95">
        <v>0</v>
      </c>
      <c r="I9" s="95">
        <v>0</v>
      </c>
      <c r="J9" s="95" t="s">
        <v>170</v>
      </c>
      <c r="K9" s="96">
        <v>0</v>
      </c>
      <c r="L9" s="95">
        <v>0</v>
      </c>
      <c r="M9" s="95">
        <v>0</v>
      </c>
      <c r="N9" s="95">
        <v>0</v>
      </c>
      <c r="O9" s="95">
        <v>0</v>
      </c>
      <c r="P9" s="95">
        <v>0</v>
      </c>
      <c r="Q9" s="95">
        <v>0</v>
      </c>
      <c r="R9" s="95">
        <v>0</v>
      </c>
      <c r="S9" s="95" t="e">
        <v>#REF!</v>
      </c>
      <c r="T9" s="95" t="e">
        <v>#REF!</v>
      </c>
      <c r="U9" s="95" t="s">
        <v>166</v>
      </c>
      <c r="V9" s="95" t="s">
        <v>166</v>
      </c>
      <c r="W9" s="95" t="s">
        <v>166</v>
      </c>
      <c r="X9" s="95" t="s">
        <v>166</v>
      </c>
      <c r="Y9" s="95" t="s">
        <v>166</v>
      </c>
      <c r="Z9" s="95" t="s">
        <v>166</v>
      </c>
      <c r="AA9" s="95" t="s">
        <v>166</v>
      </c>
      <c r="AB9" s="95" t="s">
        <v>166</v>
      </c>
      <c r="AC9" s="95" t="s">
        <v>166</v>
      </c>
      <c r="AD9" s="95" t="s">
        <v>166</v>
      </c>
      <c r="AE9" s="95" t="s">
        <v>166</v>
      </c>
      <c r="AF9" s="95" t="s">
        <v>166</v>
      </c>
      <c r="AG9" s="95">
        <v>0</v>
      </c>
      <c r="AH9" s="95">
        <v>0</v>
      </c>
      <c r="AI9" s="95">
        <v>0</v>
      </c>
      <c r="AJ9" s="95">
        <v>0</v>
      </c>
      <c r="AK9" s="95">
        <v>0</v>
      </c>
      <c r="AL9" s="95">
        <v>0</v>
      </c>
      <c r="AM9" s="95">
        <v>0</v>
      </c>
      <c r="AN9" s="95">
        <v>0</v>
      </c>
      <c r="AO9" s="95">
        <v>0</v>
      </c>
      <c r="AP9" s="95">
        <v>0</v>
      </c>
      <c r="AQ9" s="95">
        <v>0</v>
      </c>
      <c r="AR9" s="95">
        <v>0</v>
      </c>
      <c r="AS9" s="95">
        <v>0</v>
      </c>
      <c r="AT9" s="95">
        <v>0</v>
      </c>
      <c r="AU9" s="95">
        <v>0</v>
      </c>
      <c r="AV9" s="95">
        <v>0</v>
      </c>
      <c r="AW9" s="95">
        <v>0</v>
      </c>
      <c r="AX9" s="95">
        <v>0</v>
      </c>
      <c r="AY9" s="95">
        <v>0</v>
      </c>
      <c r="AZ9" s="95">
        <v>0</v>
      </c>
      <c r="BA9" s="95">
        <v>0</v>
      </c>
      <c r="BB9" s="95">
        <v>0</v>
      </c>
      <c r="BC9" s="95">
        <v>0</v>
      </c>
      <c r="BD9" s="95">
        <v>0</v>
      </c>
      <c r="BE9" s="95">
        <v>0</v>
      </c>
      <c r="BF9" s="95">
        <v>0</v>
      </c>
      <c r="BG9" s="95">
        <v>0</v>
      </c>
      <c r="BH9" s="95" t="b">
        <v>0</v>
      </c>
      <c r="BI9" s="95" t="b">
        <v>0</v>
      </c>
      <c r="BJ9" s="95" t="b">
        <v>0</v>
      </c>
      <c r="BK9" s="95" t="b">
        <v>0</v>
      </c>
      <c r="BL9" s="95" t="b">
        <v>0</v>
      </c>
      <c r="BM9" s="95" t="b">
        <v>0</v>
      </c>
      <c r="BN9" s="95" t="b">
        <v>0</v>
      </c>
      <c r="BO9" s="95" t="s">
        <v>165</v>
      </c>
      <c r="BP9" s="95">
        <v>0</v>
      </c>
      <c r="BQ9" s="95">
        <v>0</v>
      </c>
      <c r="BR9" s="95">
        <v>0</v>
      </c>
      <c r="BS9" s="95">
        <v>0</v>
      </c>
      <c r="BT9" s="95">
        <v>0</v>
      </c>
      <c r="BU9" s="95">
        <v>0</v>
      </c>
      <c r="BV9" s="95">
        <v>0</v>
      </c>
      <c r="BW9" s="95">
        <v>0</v>
      </c>
      <c r="BX9" s="95">
        <v>0</v>
      </c>
      <c r="BY9" s="95">
        <v>0</v>
      </c>
      <c r="BZ9" s="95">
        <v>0</v>
      </c>
      <c r="CA9" s="95">
        <v>0</v>
      </c>
      <c r="CB9" s="95">
        <v>0</v>
      </c>
      <c r="CC9" s="95">
        <v>0</v>
      </c>
      <c r="CD9" s="95">
        <v>0</v>
      </c>
      <c r="CE9" s="95">
        <v>0</v>
      </c>
      <c r="CF9" s="95">
        <v>0</v>
      </c>
      <c r="CG9" s="95">
        <v>0.1</v>
      </c>
      <c r="CH9" s="95">
        <v>0.1</v>
      </c>
      <c r="CI9" s="95">
        <v>0.1</v>
      </c>
      <c r="CJ9" s="95">
        <v>0.1</v>
      </c>
      <c r="CK9" s="95">
        <v>0.05</v>
      </c>
      <c r="CL9" s="95">
        <v>0.05</v>
      </c>
      <c r="CM9" s="97">
        <v>0.05</v>
      </c>
      <c r="CN9" s="97">
        <v>0.05</v>
      </c>
      <c r="CO9" s="97">
        <v>0.15</v>
      </c>
      <c r="CP9" s="97">
        <v>0</v>
      </c>
      <c r="CQ9" s="97">
        <v>0.2</v>
      </c>
      <c r="CR9" s="97">
        <v>0.25</v>
      </c>
      <c r="CS9" s="97">
        <v>0.1</v>
      </c>
      <c r="CT9" s="97">
        <v>0.2</v>
      </c>
      <c r="CU9" s="97">
        <v>0</v>
      </c>
      <c r="CV9" s="97">
        <v>1</v>
      </c>
    </row>
    <row r="10" spans="1:101" x14ac:dyDescent="0.2">
      <c r="A10" s="95">
        <v>0</v>
      </c>
      <c r="B10" s="95">
        <v>0</v>
      </c>
      <c r="C10" s="95" t="s">
        <v>165</v>
      </c>
      <c r="D10" s="95">
        <v>0</v>
      </c>
      <c r="E10" s="95" t="s">
        <v>165</v>
      </c>
      <c r="F10" s="95">
        <v>0</v>
      </c>
      <c r="G10" s="95" t="s">
        <v>172</v>
      </c>
      <c r="H10" s="95">
        <v>0</v>
      </c>
      <c r="I10" s="95">
        <v>0</v>
      </c>
      <c r="J10" s="95">
        <v>0</v>
      </c>
      <c r="K10" s="96">
        <v>0</v>
      </c>
      <c r="L10" s="95">
        <v>0</v>
      </c>
      <c r="M10" s="95" t="s">
        <v>173</v>
      </c>
      <c r="N10" s="95" t="s">
        <v>174</v>
      </c>
      <c r="O10" s="95">
        <v>0</v>
      </c>
      <c r="P10" s="95">
        <v>0</v>
      </c>
      <c r="Q10" s="95">
        <v>0</v>
      </c>
      <c r="R10" s="95" t="s">
        <v>175</v>
      </c>
      <c r="S10" s="95" t="e">
        <v>#REF!</v>
      </c>
      <c r="T10" s="95" t="e">
        <v>#REF!</v>
      </c>
      <c r="U10" s="95" t="s">
        <v>166</v>
      </c>
      <c r="V10" s="95" t="s">
        <v>166</v>
      </c>
      <c r="W10" s="95" t="s">
        <v>166</v>
      </c>
      <c r="X10" s="95" t="s">
        <v>166</v>
      </c>
      <c r="Y10" s="95" t="s">
        <v>166</v>
      </c>
      <c r="Z10" s="95" t="s">
        <v>166</v>
      </c>
      <c r="AA10" s="95" t="s">
        <v>166</v>
      </c>
      <c r="AB10" s="95" t="s">
        <v>166</v>
      </c>
      <c r="AC10" s="95" t="s">
        <v>166</v>
      </c>
      <c r="AD10" s="95" t="s">
        <v>166</v>
      </c>
      <c r="AE10" s="95" t="s">
        <v>166</v>
      </c>
      <c r="AF10" s="95" t="s">
        <v>166</v>
      </c>
      <c r="AG10" s="95">
        <v>0</v>
      </c>
      <c r="AH10" s="95">
        <v>0</v>
      </c>
      <c r="AI10" s="95">
        <v>0</v>
      </c>
      <c r="AJ10" s="95">
        <v>0</v>
      </c>
      <c r="AK10" s="95">
        <v>0</v>
      </c>
      <c r="AL10" s="95">
        <v>0</v>
      </c>
      <c r="AM10" s="95">
        <v>0</v>
      </c>
      <c r="AN10" s="95">
        <v>0</v>
      </c>
      <c r="AO10" s="95">
        <v>0</v>
      </c>
      <c r="AP10" s="95">
        <v>0</v>
      </c>
      <c r="AQ10" s="95">
        <v>0</v>
      </c>
      <c r="AR10" s="95">
        <v>0</v>
      </c>
      <c r="AS10" s="95">
        <v>0</v>
      </c>
      <c r="AT10" s="95">
        <v>0</v>
      </c>
      <c r="AU10" s="95">
        <v>0</v>
      </c>
      <c r="AV10" s="95">
        <v>0</v>
      </c>
      <c r="AW10" s="95">
        <v>0</v>
      </c>
      <c r="AX10" s="95">
        <v>0</v>
      </c>
      <c r="AY10" s="95">
        <v>0</v>
      </c>
      <c r="AZ10" s="95">
        <v>0</v>
      </c>
      <c r="BA10" s="95">
        <v>0</v>
      </c>
      <c r="BB10" s="95">
        <v>0</v>
      </c>
      <c r="BC10" s="95">
        <v>0</v>
      </c>
      <c r="BD10" s="95">
        <v>0</v>
      </c>
      <c r="BE10" s="95">
        <v>0</v>
      </c>
      <c r="BF10" s="95">
        <v>0</v>
      </c>
      <c r="BG10" s="95">
        <v>0</v>
      </c>
      <c r="BH10" s="95" t="b">
        <v>0</v>
      </c>
      <c r="BI10" s="95" t="b">
        <v>0</v>
      </c>
      <c r="BJ10" s="95" t="b">
        <v>0</v>
      </c>
      <c r="BK10" s="95" t="b">
        <v>0</v>
      </c>
      <c r="BL10" s="95" t="b">
        <v>0</v>
      </c>
      <c r="BM10" s="95" t="b">
        <v>0</v>
      </c>
      <c r="BN10" s="95" t="b">
        <v>0</v>
      </c>
      <c r="BO10" s="95" t="s">
        <v>165</v>
      </c>
      <c r="BP10" s="95">
        <v>0</v>
      </c>
      <c r="BQ10" s="95">
        <v>0</v>
      </c>
      <c r="BR10" s="95">
        <v>0</v>
      </c>
      <c r="BS10" s="95">
        <v>0</v>
      </c>
      <c r="BT10" s="95">
        <v>0</v>
      </c>
      <c r="BU10" s="95">
        <v>0</v>
      </c>
      <c r="BV10" s="95">
        <v>0</v>
      </c>
      <c r="BW10" s="95">
        <v>0</v>
      </c>
      <c r="BX10" s="95">
        <v>0</v>
      </c>
      <c r="BY10" s="95">
        <v>0</v>
      </c>
      <c r="BZ10" s="95">
        <v>0</v>
      </c>
      <c r="CA10" s="95">
        <v>0</v>
      </c>
      <c r="CB10" s="95">
        <v>0</v>
      </c>
      <c r="CC10" s="95">
        <v>0</v>
      </c>
      <c r="CD10" s="95">
        <v>0</v>
      </c>
      <c r="CE10" s="95">
        <v>0</v>
      </c>
      <c r="CF10" s="95">
        <v>0</v>
      </c>
      <c r="CG10" s="95">
        <v>0.1</v>
      </c>
      <c r="CH10" s="95">
        <v>0.1</v>
      </c>
      <c r="CI10" s="95">
        <v>0.1</v>
      </c>
      <c r="CJ10" s="95">
        <v>0.1</v>
      </c>
      <c r="CK10" s="95">
        <v>0.05</v>
      </c>
      <c r="CL10" s="95">
        <v>0.05</v>
      </c>
      <c r="CM10" s="97">
        <v>0.05</v>
      </c>
      <c r="CN10" s="97">
        <v>0.05</v>
      </c>
      <c r="CO10" s="97">
        <v>0.15</v>
      </c>
      <c r="CP10" s="97">
        <v>0</v>
      </c>
      <c r="CQ10" s="97">
        <v>0.2</v>
      </c>
      <c r="CR10" s="97">
        <v>0.25</v>
      </c>
      <c r="CS10" s="97">
        <v>0.1</v>
      </c>
      <c r="CT10" s="97">
        <v>0.2</v>
      </c>
      <c r="CU10" s="97">
        <v>0</v>
      </c>
      <c r="CV10" s="97">
        <v>1</v>
      </c>
    </row>
    <row r="11" spans="1:101" x14ac:dyDescent="0.2">
      <c r="A11" s="95">
        <v>0</v>
      </c>
      <c r="B11" s="95" t="s">
        <v>176</v>
      </c>
      <c r="C11" s="95" t="s">
        <v>177</v>
      </c>
      <c r="D11" s="95" t="s">
        <v>178</v>
      </c>
      <c r="E11" s="95" t="s">
        <v>6</v>
      </c>
      <c r="F11" s="95">
        <v>0</v>
      </c>
      <c r="G11" s="95">
        <v>2</v>
      </c>
      <c r="H11" s="95">
        <v>0</v>
      </c>
      <c r="I11" s="95">
        <v>0</v>
      </c>
      <c r="J11" s="95">
        <v>0</v>
      </c>
      <c r="K11" s="96">
        <v>44484</v>
      </c>
      <c r="L11" s="95">
        <v>0</v>
      </c>
      <c r="M11" s="95">
        <v>0</v>
      </c>
      <c r="N11" s="95">
        <v>0</v>
      </c>
      <c r="O11" s="95">
        <v>0</v>
      </c>
      <c r="P11" s="95">
        <v>0</v>
      </c>
      <c r="Q11" s="95">
        <v>0</v>
      </c>
      <c r="R11" s="95">
        <v>0</v>
      </c>
      <c r="S11" s="95" t="e">
        <v>#REF!</v>
      </c>
      <c r="T11" s="95" t="e">
        <v>#REF!</v>
      </c>
      <c r="U11" s="95" t="s">
        <v>166</v>
      </c>
      <c r="V11" s="95" t="s">
        <v>166</v>
      </c>
      <c r="W11" s="95" t="s">
        <v>166</v>
      </c>
      <c r="X11" s="95" t="s">
        <v>166</v>
      </c>
      <c r="Y11" s="95" t="s">
        <v>166</v>
      </c>
      <c r="Z11" s="95" t="s">
        <v>166</v>
      </c>
      <c r="AA11" s="95" t="s">
        <v>166</v>
      </c>
      <c r="AB11" s="95" t="s">
        <v>166</v>
      </c>
      <c r="AC11" s="95" t="s">
        <v>166</v>
      </c>
      <c r="AD11" s="95" t="s">
        <v>166</v>
      </c>
      <c r="AE11" s="95" t="s">
        <v>166</v>
      </c>
      <c r="AF11" s="95" t="s">
        <v>166</v>
      </c>
      <c r="AG11" s="95">
        <v>0</v>
      </c>
      <c r="AH11" s="95">
        <v>0</v>
      </c>
      <c r="AI11" s="95">
        <v>0</v>
      </c>
      <c r="AJ11" s="95">
        <v>0</v>
      </c>
      <c r="AK11" s="95">
        <v>0</v>
      </c>
      <c r="AL11" s="95">
        <v>0</v>
      </c>
      <c r="AM11" s="95" t="b">
        <v>0</v>
      </c>
      <c r="AN11" s="95" t="b">
        <v>0</v>
      </c>
      <c r="AO11" s="95" t="b">
        <v>0</v>
      </c>
      <c r="AP11" s="95" t="b">
        <v>0</v>
      </c>
      <c r="AQ11" s="95" t="b">
        <v>0</v>
      </c>
      <c r="AR11" s="95" t="b">
        <v>0</v>
      </c>
      <c r="AS11" s="95" t="b">
        <v>0</v>
      </c>
      <c r="AT11" s="95" t="b">
        <v>0</v>
      </c>
      <c r="AU11" s="95" t="b">
        <v>0</v>
      </c>
      <c r="AV11" s="95">
        <v>0</v>
      </c>
      <c r="AW11" s="95" t="b">
        <v>0</v>
      </c>
      <c r="AX11" s="95" t="b">
        <v>0</v>
      </c>
      <c r="AY11" s="95" t="b">
        <v>0</v>
      </c>
      <c r="AZ11" s="95" t="b">
        <v>0</v>
      </c>
      <c r="BA11" s="95" t="b">
        <v>0</v>
      </c>
      <c r="BB11" s="95">
        <v>0</v>
      </c>
      <c r="BC11" s="95">
        <v>0</v>
      </c>
      <c r="BD11" s="95">
        <v>0</v>
      </c>
      <c r="BE11" s="95">
        <v>0</v>
      </c>
      <c r="BF11" s="95">
        <v>0</v>
      </c>
      <c r="BG11" s="95">
        <v>0</v>
      </c>
      <c r="BH11" s="95" t="b">
        <v>0</v>
      </c>
      <c r="BI11" s="95" t="b">
        <v>0</v>
      </c>
      <c r="BJ11" s="95" t="b">
        <v>0</v>
      </c>
      <c r="BK11" s="95" t="b">
        <v>0</v>
      </c>
      <c r="BL11" s="95" t="b">
        <v>0</v>
      </c>
      <c r="BM11" s="95" t="b">
        <v>0</v>
      </c>
      <c r="BN11" s="95" t="b">
        <v>0</v>
      </c>
      <c r="BO11" s="95" t="s">
        <v>165</v>
      </c>
      <c r="BP11" s="95">
        <v>0</v>
      </c>
      <c r="BQ11" s="95">
        <v>0</v>
      </c>
      <c r="BR11" s="95">
        <v>0</v>
      </c>
      <c r="BS11" s="95">
        <v>0</v>
      </c>
      <c r="BT11" s="95">
        <v>0</v>
      </c>
      <c r="BU11" s="95">
        <v>0</v>
      </c>
      <c r="BV11" s="95">
        <v>0</v>
      </c>
      <c r="BW11" s="95">
        <v>0</v>
      </c>
      <c r="BX11" s="95">
        <v>0</v>
      </c>
      <c r="BY11" s="95">
        <v>0</v>
      </c>
      <c r="BZ11" s="95">
        <v>0</v>
      </c>
      <c r="CA11" s="95">
        <v>0</v>
      </c>
      <c r="CB11" s="95">
        <v>0</v>
      </c>
      <c r="CC11" s="95">
        <v>0</v>
      </c>
      <c r="CD11" s="95">
        <v>0</v>
      </c>
      <c r="CE11" s="95">
        <v>0</v>
      </c>
      <c r="CF11" s="95">
        <v>0</v>
      </c>
      <c r="CG11" s="95">
        <v>0.1</v>
      </c>
      <c r="CH11" s="95">
        <v>0.1</v>
      </c>
      <c r="CI11" s="95">
        <v>0.1</v>
      </c>
      <c r="CJ11" s="95">
        <v>0.1</v>
      </c>
      <c r="CK11" s="95">
        <v>0.05</v>
      </c>
      <c r="CL11" s="95">
        <v>0.05</v>
      </c>
      <c r="CM11" s="97">
        <v>0.05</v>
      </c>
      <c r="CN11" s="97">
        <v>0.05</v>
      </c>
      <c r="CO11" s="97">
        <v>0.15</v>
      </c>
      <c r="CP11" s="97">
        <v>0</v>
      </c>
      <c r="CQ11" s="97">
        <v>0.2</v>
      </c>
      <c r="CR11" s="97">
        <v>0.25</v>
      </c>
      <c r="CS11" s="97">
        <v>0.1</v>
      </c>
      <c r="CT11" s="97">
        <v>0.2</v>
      </c>
      <c r="CU11" s="97">
        <v>0</v>
      </c>
      <c r="CV11" s="97">
        <v>1</v>
      </c>
    </row>
    <row r="12" spans="1:101" x14ac:dyDescent="0.2">
      <c r="A12" s="95">
        <v>0</v>
      </c>
      <c r="B12" s="95">
        <v>0</v>
      </c>
      <c r="C12" s="95" t="s">
        <v>165</v>
      </c>
      <c r="D12" s="95">
        <v>0</v>
      </c>
      <c r="E12" s="95" t="s">
        <v>165</v>
      </c>
      <c r="F12" s="95">
        <v>0</v>
      </c>
      <c r="G12" s="95">
        <v>0</v>
      </c>
      <c r="H12" s="95">
        <v>0</v>
      </c>
      <c r="I12" s="95">
        <v>0</v>
      </c>
      <c r="J12" s="95">
        <v>0</v>
      </c>
      <c r="K12" s="96">
        <v>0</v>
      </c>
      <c r="L12" s="95">
        <v>0</v>
      </c>
      <c r="M12" s="95">
        <v>0</v>
      </c>
      <c r="N12" s="95">
        <v>0</v>
      </c>
      <c r="O12" s="95">
        <v>0</v>
      </c>
      <c r="P12" s="95">
        <v>0</v>
      </c>
      <c r="Q12" s="95">
        <v>0</v>
      </c>
      <c r="R12" s="95">
        <v>0</v>
      </c>
      <c r="S12" s="95" t="e">
        <v>#REF!</v>
      </c>
      <c r="T12" s="95" t="e">
        <v>#REF!</v>
      </c>
      <c r="U12" s="95" t="s">
        <v>166</v>
      </c>
      <c r="V12" s="95" t="s">
        <v>166</v>
      </c>
      <c r="W12" s="95" t="s">
        <v>166</v>
      </c>
      <c r="X12" s="95" t="s">
        <v>166</v>
      </c>
      <c r="Y12" s="95" t="s">
        <v>166</v>
      </c>
      <c r="Z12" s="95" t="s">
        <v>166</v>
      </c>
      <c r="AA12" s="95" t="s">
        <v>166</v>
      </c>
      <c r="AB12" s="95" t="s">
        <v>166</v>
      </c>
      <c r="AC12" s="95" t="s">
        <v>166</v>
      </c>
      <c r="AD12" s="95" t="s">
        <v>166</v>
      </c>
      <c r="AE12" s="95" t="s">
        <v>166</v>
      </c>
      <c r="AF12" s="95" t="s">
        <v>166</v>
      </c>
      <c r="AG12" s="95">
        <v>0</v>
      </c>
      <c r="AH12" s="95">
        <v>0</v>
      </c>
      <c r="AI12" s="95">
        <v>0</v>
      </c>
      <c r="AJ12" s="95">
        <v>0</v>
      </c>
      <c r="AK12" s="95">
        <v>0</v>
      </c>
      <c r="AL12" s="95">
        <v>0</v>
      </c>
      <c r="AM12" s="95">
        <v>0</v>
      </c>
      <c r="AN12" s="95">
        <v>0</v>
      </c>
      <c r="AO12" s="95">
        <v>0</v>
      </c>
      <c r="AP12" s="95">
        <v>0</v>
      </c>
      <c r="AQ12" s="95">
        <v>0</v>
      </c>
      <c r="AR12" s="95">
        <v>0</v>
      </c>
      <c r="AS12" s="95">
        <v>0</v>
      </c>
      <c r="AT12" s="95">
        <v>0</v>
      </c>
      <c r="AU12" s="95">
        <v>0</v>
      </c>
      <c r="AV12" s="95">
        <v>0</v>
      </c>
      <c r="AW12" s="95">
        <v>0</v>
      </c>
      <c r="AX12" s="95">
        <v>0</v>
      </c>
      <c r="AY12" s="95">
        <v>0</v>
      </c>
      <c r="AZ12" s="95">
        <v>0</v>
      </c>
      <c r="BA12" s="95">
        <v>0</v>
      </c>
      <c r="BB12" s="95">
        <v>0</v>
      </c>
      <c r="BC12" s="95">
        <v>0</v>
      </c>
      <c r="BD12" s="95">
        <v>0</v>
      </c>
      <c r="BE12" s="95">
        <v>0</v>
      </c>
      <c r="BF12" s="95">
        <v>0</v>
      </c>
      <c r="BG12" s="95">
        <v>0</v>
      </c>
      <c r="BH12" s="95">
        <v>0</v>
      </c>
      <c r="BI12" s="95">
        <v>0</v>
      </c>
      <c r="BJ12" s="95">
        <v>0</v>
      </c>
      <c r="BK12" s="95">
        <v>0</v>
      </c>
      <c r="BL12" s="95">
        <v>0</v>
      </c>
      <c r="BM12" s="95">
        <v>0</v>
      </c>
      <c r="BN12" s="95">
        <v>0</v>
      </c>
      <c r="BO12" s="95" t="s">
        <v>165</v>
      </c>
      <c r="BP12" s="95">
        <v>0</v>
      </c>
      <c r="BQ12" s="95">
        <v>0</v>
      </c>
      <c r="BR12" s="127">
        <v>0</v>
      </c>
      <c r="BS12" s="127">
        <v>0</v>
      </c>
      <c r="BT12" s="95">
        <v>0</v>
      </c>
      <c r="BU12" s="95">
        <v>0</v>
      </c>
      <c r="BV12" s="95">
        <v>0</v>
      </c>
      <c r="BW12" s="95">
        <v>0</v>
      </c>
      <c r="BX12" s="95">
        <v>0</v>
      </c>
      <c r="BY12" s="95">
        <v>0</v>
      </c>
      <c r="BZ12" s="95">
        <v>0</v>
      </c>
      <c r="CA12" s="95">
        <v>0</v>
      </c>
      <c r="CB12" s="95">
        <v>0</v>
      </c>
      <c r="CC12" s="95">
        <v>0</v>
      </c>
      <c r="CD12" s="95">
        <v>0</v>
      </c>
      <c r="CE12" s="95">
        <v>0</v>
      </c>
      <c r="CF12" s="95">
        <v>0</v>
      </c>
      <c r="CG12" s="97">
        <v>0.1</v>
      </c>
      <c r="CH12" s="97">
        <v>0.1</v>
      </c>
      <c r="CI12" s="97">
        <v>0.1</v>
      </c>
      <c r="CJ12" s="97">
        <v>0.1</v>
      </c>
      <c r="CK12" s="97">
        <v>0.05</v>
      </c>
      <c r="CL12" s="97">
        <v>0.05</v>
      </c>
      <c r="CM12" s="97">
        <v>0.05</v>
      </c>
      <c r="CN12" s="97">
        <v>0.05</v>
      </c>
      <c r="CO12" s="97">
        <v>0.15</v>
      </c>
      <c r="CP12" s="97">
        <v>0</v>
      </c>
      <c r="CQ12" s="97">
        <v>0.2</v>
      </c>
      <c r="CR12" s="97">
        <v>0.25</v>
      </c>
      <c r="CS12" s="97">
        <v>0.1</v>
      </c>
      <c r="CT12" s="97">
        <v>0.2</v>
      </c>
      <c r="CU12" s="97">
        <v>0</v>
      </c>
      <c r="CV12" s="97">
        <v>1</v>
      </c>
    </row>
    <row r="13" spans="1:101" x14ac:dyDescent="0.2">
      <c r="A13" s="95">
        <v>0</v>
      </c>
      <c r="B13" s="95">
        <v>0</v>
      </c>
      <c r="C13" s="95" t="s">
        <v>179</v>
      </c>
      <c r="D13" s="95" t="s">
        <v>180</v>
      </c>
      <c r="E13" s="95" t="s">
        <v>181</v>
      </c>
      <c r="F13" s="95">
        <v>0</v>
      </c>
      <c r="G13" s="95" t="e">
        <v>#DIV/0!</v>
      </c>
      <c r="H13" s="95">
        <v>0</v>
      </c>
      <c r="I13" s="95">
        <v>0</v>
      </c>
      <c r="J13" s="95">
        <v>0</v>
      </c>
      <c r="K13" s="96">
        <v>44484</v>
      </c>
      <c r="L13" s="95">
        <v>0</v>
      </c>
      <c r="M13" s="95">
        <v>0</v>
      </c>
      <c r="N13" s="95">
        <v>0</v>
      </c>
      <c r="O13" s="95">
        <v>0</v>
      </c>
      <c r="P13" s="95">
        <v>0</v>
      </c>
      <c r="Q13" s="95">
        <v>0</v>
      </c>
      <c r="R13" s="95">
        <v>0</v>
      </c>
      <c r="S13" s="95" t="e">
        <v>#REF!</v>
      </c>
      <c r="T13" s="95" t="e">
        <v>#REF!</v>
      </c>
      <c r="U13" s="95" t="s">
        <v>166</v>
      </c>
      <c r="V13" s="95" t="s">
        <v>166</v>
      </c>
      <c r="W13" s="95" t="s">
        <v>166</v>
      </c>
      <c r="X13" s="95" t="s">
        <v>166</v>
      </c>
      <c r="Y13" s="95" t="s">
        <v>166</v>
      </c>
      <c r="Z13" s="95" t="s">
        <v>166</v>
      </c>
      <c r="AA13" s="95" t="s">
        <v>166</v>
      </c>
      <c r="AB13" s="95" t="s">
        <v>166</v>
      </c>
      <c r="AC13" s="95" t="s">
        <v>166</v>
      </c>
      <c r="AD13" s="95" t="s">
        <v>166</v>
      </c>
      <c r="AE13" s="95" t="s">
        <v>166</v>
      </c>
      <c r="AF13" s="95" t="s">
        <v>166</v>
      </c>
      <c r="AG13" s="95">
        <v>0</v>
      </c>
      <c r="AH13" s="95">
        <v>0</v>
      </c>
      <c r="AI13" s="95">
        <v>0</v>
      </c>
      <c r="AJ13" s="95">
        <v>0</v>
      </c>
      <c r="AK13" s="95" t="b">
        <v>0</v>
      </c>
      <c r="AL13" s="95">
        <v>0</v>
      </c>
      <c r="AM13" s="95">
        <v>0</v>
      </c>
      <c r="AN13" s="95">
        <v>0</v>
      </c>
      <c r="AO13" s="95">
        <v>0</v>
      </c>
      <c r="AP13" s="95">
        <v>0</v>
      </c>
      <c r="AQ13" s="95">
        <v>0</v>
      </c>
      <c r="AR13" s="95">
        <v>0</v>
      </c>
      <c r="AS13" s="95">
        <v>0</v>
      </c>
      <c r="AT13" s="95">
        <v>0</v>
      </c>
      <c r="AU13" s="95">
        <v>0</v>
      </c>
      <c r="AV13" s="95">
        <v>0</v>
      </c>
      <c r="AW13" s="95">
        <v>0</v>
      </c>
      <c r="AX13" s="95">
        <v>0</v>
      </c>
      <c r="AY13" s="95">
        <v>0</v>
      </c>
      <c r="AZ13" s="95">
        <v>0</v>
      </c>
      <c r="BA13" s="95">
        <v>0</v>
      </c>
      <c r="BB13" s="95">
        <v>0</v>
      </c>
      <c r="BC13" s="95">
        <v>0</v>
      </c>
      <c r="BD13" s="95">
        <v>0</v>
      </c>
      <c r="BE13" s="95">
        <v>0</v>
      </c>
      <c r="BF13" s="95">
        <v>0</v>
      </c>
      <c r="BG13" s="95">
        <v>0</v>
      </c>
      <c r="BH13" s="95" t="b">
        <v>0</v>
      </c>
      <c r="BI13" s="95" t="b">
        <v>0</v>
      </c>
      <c r="BJ13" s="95" t="b">
        <v>0</v>
      </c>
      <c r="BK13" s="95" t="b">
        <v>0</v>
      </c>
      <c r="BL13" s="95" t="b">
        <v>0</v>
      </c>
      <c r="BM13" s="95">
        <v>0</v>
      </c>
      <c r="BN13" s="95">
        <v>0</v>
      </c>
      <c r="BO13" s="95" t="s">
        <v>165</v>
      </c>
      <c r="BP13" s="95">
        <v>0</v>
      </c>
      <c r="BQ13" s="95">
        <v>0</v>
      </c>
      <c r="BR13" s="95">
        <v>0</v>
      </c>
      <c r="BS13" s="95">
        <v>0</v>
      </c>
      <c r="BT13" s="95">
        <v>0</v>
      </c>
      <c r="BU13" s="95">
        <v>0</v>
      </c>
      <c r="BV13" s="95">
        <v>0</v>
      </c>
      <c r="BW13" s="95">
        <v>0</v>
      </c>
      <c r="BX13" s="95">
        <v>0</v>
      </c>
      <c r="BY13" s="95" t="b">
        <v>0</v>
      </c>
      <c r="BZ13" s="95">
        <v>0</v>
      </c>
      <c r="CA13" s="95">
        <v>0</v>
      </c>
      <c r="CB13" s="95">
        <v>0</v>
      </c>
      <c r="CC13" s="95">
        <v>0</v>
      </c>
      <c r="CD13" s="95">
        <v>0</v>
      </c>
      <c r="CE13" s="95">
        <v>0</v>
      </c>
      <c r="CF13" s="95">
        <v>0</v>
      </c>
      <c r="CG13" s="97">
        <v>0.1</v>
      </c>
      <c r="CH13" s="97">
        <v>0.1</v>
      </c>
      <c r="CI13" s="97">
        <v>0.1</v>
      </c>
      <c r="CJ13" s="97">
        <v>0.1</v>
      </c>
      <c r="CK13" s="97">
        <v>0.05</v>
      </c>
      <c r="CL13" s="97">
        <v>0.05</v>
      </c>
      <c r="CM13" s="97">
        <v>0.05</v>
      </c>
      <c r="CN13" s="97">
        <v>0.05</v>
      </c>
      <c r="CO13" s="97">
        <v>0.05</v>
      </c>
      <c r="CP13" s="97">
        <v>0</v>
      </c>
      <c r="CQ13" s="97">
        <v>0.2</v>
      </c>
      <c r="CR13" s="97">
        <v>0.25</v>
      </c>
      <c r="CS13" s="97">
        <v>0.1</v>
      </c>
      <c r="CT13" s="97">
        <v>0.2</v>
      </c>
      <c r="CU13" s="97">
        <v>0</v>
      </c>
      <c r="CV13" s="97">
        <v>1</v>
      </c>
    </row>
    <row r="14" spans="1:101" x14ac:dyDescent="0.2">
      <c r="A14" s="95">
        <v>0</v>
      </c>
      <c r="B14" s="95">
        <v>0</v>
      </c>
      <c r="C14" s="95" t="s">
        <v>165</v>
      </c>
      <c r="D14" s="95">
        <v>0</v>
      </c>
      <c r="E14" s="95" t="s">
        <v>165</v>
      </c>
      <c r="F14" s="95">
        <v>0</v>
      </c>
      <c r="G14" s="95" t="e">
        <v>#DIV/0!</v>
      </c>
      <c r="H14" s="95">
        <v>0</v>
      </c>
      <c r="I14" s="95">
        <v>0</v>
      </c>
      <c r="J14" s="95">
        <v>0</v>
      </c>
      <c r="K14" s="96">
        <v>44484</v>
      </c>
      <c r="L14" s="95">
        <v>0</v>
      </c>
      <c r="M14" s="95">
        <v>0</v>
      </c>
      <c r="N14" s="95">
        <v>0</v>
      </c>
      <c r="O14" s="95">
        <v>0</v>
      </c>
      <c r="P14" s="95">
        <v>0</v>
      </c>
      <c r="Q14" s="95">
        <v>0</v>
      </c>
      <c r="R14" s="95">
        <v>0</v>
      </c>
      <c r="S14" s="95" t="e">
        <v>#REF!</v>
      </c>
      <c r="T14" s="95" t="e">
        <v>#REF!</v>
      </c>
      <c r="U14" s="95" t="s">
        <v>166</v>
      </c>
      <c r="V14" s="95" t="s">
        <v>166</v>
      </c>
      <c r="W14" s="95" t="s">
        <v>166</v>
      </c>
      <c r="X14" s="95" t="s">
        <v>166</v>
      </c>
      <c r="Y14" s="95" t="s">
        <v>166</v>
      </c>
      <c r="Z14" s="95" t="s">
        <v>166</v>
      </c>
      <c r="AA14" s="95" t="s">
        <v>166</v>
      </c>
      <c r="AB14" s="95" t="s">
        <v>166</v>
      </c>
      <c r="AC14" s="95" t="s">
        <v>166</v>
      </c>
      <c r="AD14" s="95" t="s">
        <v>166</v>
      </c>
      <c r="AE14" s="95" t="s">
        <v>166</v>
      </c>
      <c r="AF14" s="95" t="s">
        <v>166</v>
      </c>
      <c r="AG14" s="95">
        <v>0</v>
      </c>
      <c r="AH14" s="95">
        <v>0</v>
      </c>
      <c r="AI14" s="95">
        <v>0</v>
      </c>
      <c r="AJ14" s="95">
        <v>0</v>
      </c>
      <c r="AK14" s="95" t="b">
        <v>0</v>
      </c>
      <c r="AL14" s="95">
        <v>0</v>
      </c>
      <c r="AM14" s="95">
        <v>0</v>
      </c>
      <c r="AN14" s="95">
        <v>0</v>
      </c>
      <c r="AO14" s="95">
        <v>0</v>
      </c>
      <c r="AP14" s="95">
        <v>0</v>
      </c>
      <c r="AQ14" s="95">
        <v>0</v>
      </c>
      <c r="AR14" s="95">
        <v>0</v>
      </c>
      <c r="AS14" s="95">
        <v>0</v>
      </c>
      <c r="AT14" s="95">
        <v>0</v>
      </c>
      <c r="AU14" s="95">
        <v>0</v>
      </c>
      <c r="AV14" s="95">
        <v>0</v>
      </c>
      <c r="AW14" s="95">
        <v>0</v>
      </c>
      <c r="AX14" s="95">
        <v>0</v>
      </c>
      <c r="AY14" s="95">
        <v>0</v>
      </c>
      <c r="AZ14" s="95">
        <v>0</v>
      </c>
      <c r="BA14" s="95">
        <v>0</v>
      </c>
      <c r="BB14" s="95">
        <v>0</v>
      </c>
      <c r="BC14" s="95">
        <v>0</v>
      </c>
      <c r="BD14" s="95">
        <v>0</v>
      </c>
      <c r="BE14" s="95">
        <v>0</v>
      </c>
      <c r="BF14" s="95">
        <v>0</v>
      </c>
      <c r="BG14" s="95">
        <v>0</v>
      </c>
      <c r="BH14" s="95">
        <v>0</v>
      </c>
      <c r="BI14" s="95">
        <v>0</v>
      </c>
      <c r="BJ14" s="95">
        <v>0</v>
      </c>
      <c r="BK14" s="95">
        <v>0</v>
      </c>
      <c r="BL14" s="95">
        <v>0</v>
      </c>
      <c r="BM14" s="95">
        <v>0</v>
      </c>
      <c r="BN14" s="95">
        <v>0</v>
      </c>
      <c r="BO14" s="95" t="s">
        <v>165</v>
      </c>
      <c r="BP14" s="95">
        <v>0</v>
      </c>
      <c r="BQ14" s="95">
        <v>0</v>
      </c>
      <c r="BR14" s="95">
        <v>0</v>
      </c>
      <c r="BS14" s="95">
        <v>0</v>
      </c>
      <c r="BT14" s="95">
        <v>0</v>
      </c>
      <c r="BU14" s="95">
        <v>0</v>
      </c>
      <c r="BV14" s="95">
        <v>0</v>
      </c>
      <c r="BW14" s="95">
        <v>0</v>
      </c>
      <c r="BX14" s="95">
        <v>0</v>
      </c>
      <c r="BY14" s="95">
        <v>0</v>
      </c>
      <c r="BZ14" s="95">
        <v>0</v>
      </c>
      <c r="CA14" s="95">
        <v>0</v>
      </c>
      <c r="CB14" s="95">
        <v>0</v>
      </c>
      <c r="CC14" s="95">
        <v>0</v>
      </c>
      <c r="CD14" s="95">
        <v>0</v>
      </c>
      <c r="CE14" s="95">
        <v>0</v>
      </c>
      <c r="CF14" s="95">
        <v>0</v>
      </c>
      <c r="CG14" s="97">
        <v>0.1</v>
      </c>
      <c r="CH14" s="97">
        <v>0.1</v>
      </c>
      <c r="CI14" s="97">
        <v>0.1</v>
      </c>
      <c r="CJ14" s="97">
        <v>0.1</v>
      </c>
      <c r="CK14" s="97">
        <v>0.05</v>
      </c>
      <c r="CL14" s="97">
        <v>0.05</v>
      </c>
      <c r="CM14" s="97">
        <v>0.05</v>
      </c>
      <c r="CN14" s="97">
        <v>0.05</v>
      </c>
      <c r="CO14" s="97">
        <v>0.05</v>
      </c>
      <c r="CP14" s="97">
        <v>0</v>
      </c>
      <c r="CQ14" s="97">
        <v>0.2</v>
      </c>
      <c r="CR14" s="97">
        <v>0.25</v>
      </c>
      <c r="CS14" s="97">
        <v>0.1</v>
      </c>
      <c r="CT14" s="97">
        <v>0.2</v>
      </c>
      <c r="CU14" s="97">
        <v>0</v>
      </c>
      <c r="CV14" s="97">
        <v>1</v>
      </c>
    </row>
    <row r="15" spans="1:101" x14ac:dyDescent="0.2">
      <c r="A15" s="95">
        <v>0</v>
      </c>
      <c r="B15" s="95">
        <v>0</v>
      </c>
      <c r="C15" s="95" t="s">
        <v>165</v>
      </c>
      <c r="D15" s="95" t="s">
        <v>165</v>
      </c>
      <c r="E15" s="95" t="s">
        <v>165</v>
      </c>
      <c r="F15" s="95">
        <v>0</v>
      </c>
      <c r="G15" s="95" t="e">
        <v>#DIV/0!</v>
      </c>
      <c r="H15" s="95">
        <v>0</v>
      </c>
      <c r="I15" s="95">
        <v>0</v>
      </c>
      <c r="J15" s="95">
        <v>0</v>
      </c>
      <c r="K15" s="96">
        <v>0</v>
      </c>
      <c r="L15" s="95">
        <v>0</v>
      </c>
      <c r="M15" s="95">
        <v>0</v>
      </c>
      <c r="N15" s="95">
        <v>0</v>
      </c>
      <c r="O15" s="95">
        <v>0</v>
      </c>
      <c r="P15" s="95">
        <v>0</v>
      </c>
      <c r="Q15" s="95">
        <v>0</v>
      </c>
      <c r="R15" s="95">
        <v>0</v>
      </c>
      <c r="S15" s="95" t="e">
        <v>#REF!</v>
      </c>
      <c r="T15" s="95" t="e">
        <v>#REF!</v>
      </c>
      <c r="U15" s="95" t="s">
        <v>166</v>
      </c>
      <c r="V15" s="95" t="s">
        <v>166</v>
      </c>
      <c r="W15" s="95" t="s">
        <v>166</v>
      </c>
      <c r="X15" s="95" t="s">
        <v>166</v>
      </c>
      <c r="Y15" s="95" t="s">
        <v>166</v>
      </c>
      <c r="Z15" s="95" t="s">
        <v>166</v>
      </c>
      <c r="AA15" s="95" t="s">
        <v>166</v>
      </c>
      <c r="AB15" s="95" t="s">
        <v>166</v>
      </c>
      <c r="AC15" s="95" t="s">
        <v>166</v>
      </c>
      <c r="AD15" s="95" t="s">
        <v>166</v>
      </c>
      <c r="AE15" s="95" t="s">
        <v>166</v>
      </c>
      <c r="AF15" s="95" t="s">
        <v>166</v>
      </c>
      <c r="AG15" s="95">
        <v>0</v>
      </c>
      <c r="AH15" s="95">
        <v>0</v>
      </c>
      <c r="AI15" s="95">
        <v>0</v>
      </c>
      <c r="AJ15" s="95">
        <v>0</v>
      </c>
      <c r="AK15" s="95" t="b">
        <v>0</v>
      </c>
      <c r="AL15" s="95">
        <v>0</v>
      </c>
      <c r="AM15" s="95">
        <v>0</v>
      </c>
      <c r="AN15" s="95">
        <v>0</v>
      </c>
      <c r="AO15" s="95">
        <v>0</v>
      </c>
      <c r="AP15" s="95">
        <v>0</v>
      </c>
      <c r="AQ15" s="95">
        <v>0</v>
      </c>
      <c r="AR15" s="95">
        <v>0</v>
      </c>
      <c r="AS15" s="95">
        <v>0</v>
      </c>
      <c r="AT15" s="95">
        <v>0</v>
      </c>
      <c r="AU15" s="95">
        <v>0</v>
      </c>
      <c r="AV15" s="95">
        <v>0</v>
      </c>
      <c r="AW15" s="95">
        <v>0</v>
      </c>
      <c r="AX15" s="95">
        <v>0</v>
      </c>
      <c r="AY15" s="95">
        <v>0</v>
      </c>
      <c r="AZ15" s="95">
        <v>0</v>
      </c>
      <c r="BA15" s="95">
        <v>0</v>
      </c>
      <c r="BB15" s="95">
        <v>0</v>
      </c>
      <c r="BC15" s="95">
        <v>0</v>
      </c>
      <c r="BD15" s="95">
        <v>0</v>
      </c>
      <c r="BE15" s="95">
        <v>0</v>
      </c>
      <c r="BF15" s="95">
        <v>0</v>
      </c>
      <c r="BG15" s="95">
        <v>0</v>
      </c>
      <c r="BH15" s="95">
        <v>0</v>
      </c>
      <c r="BI15" s="95">
        <v>0</v>
      </c>
      <c r="BJ15" s="95">
        <v>0</v>
      </c>
      <c r="BK15" s="95">
        <v>0</v>
      </c>
      <c r="BL15" s="95">
        <v>0</v>
      </c>
      <c r="BM15" s="95">
        <v>0</v>
      </c>
      <c r="BN15" s="95">
        <v>0</v>
      </c>
      <c r="BO15" s="95" t="s">
        <v>165</v>
      </c>
      <c r="BP15" s="95">
        <v>0</v>
      </c>
      <c r="BQ15" s="95">
        <v>0</v>
      </c>
      <c r="BR15" s="95">
        <v>0</v>
      </c>
      <c r="BS15" s="95">
        <v>0</v>
      </c>
      <c r="BT15" s="95">
        <v>0</v>
      </c>
      <c r="BU15" s="95">
        <v>0</v>
      </c>
      <c r="BV15" s="95">
        <v>0</v>
      </c>
      <c r="BW15" s="95">
        <v>0</v>
      </c>
      <c r="BX15" s="95">
        <v>0</v>
      </c>
      <c r="BY15" s="95">
        <v>0</v>
      </c>
      <c r="BZ15" s="95">
        <v>0</v>
      </c>
      <c r="CA15" s="95">
        <v>0</v>
      </c>
      <c r="CB15" s="95">
        <v>0</v>
      </c>
      <c r="CC15" s="95">
        <v>0</v>
      </c>
      <c r="CD15" s="95">
        <v>0</v>
      </c>
      <c r="CE15" s="95">
        <v>0</v>
      </c>
      <c r="CF15" s="95">
        <v>0</v>
      </c>
      <c r="CG15" s="97">
        <v>0.1</v>
      </c>
      <c r="CH15" s="97">
        <v>0.1</v>
      </c>
      <c r="CI15" s="97">
        <v>0.1</v>
      </c>
      <c r="CJ15" s="97">
        <v>0.1</v>
      </c>
      <c r="CK15" s="97">
        <v>0.05</v>
      </c>
      <c r="CL15" s="97">
        <v>0.05</v>
      </c>
      <c r="CM15" s="97">
        <v>0.05</v>
      </c>
      <c r="CN15" s="97">
        <v>0.05</v>
      </c>
      <c r="CO15" s="97">
        <v>0.05</v>
      </c>
      <c r="CP15" s="97">
        <v>0</v>
      </c>
      <c r="CQ15" s="97">
        <v>0.2</v>
      </c>
      <c r="CR15" s="97">
        <v>0.25</v>
      </c>
      <c r="CS15" s="97">
        <v>0.1</v>
      </c>
      <c r="CT15" s="97">
        <v>0.2</v>
      </c>
      <c r="CU15" s="97">
        <v>0</v>
      </c>
      <c r="CV15" s="97">
        <v>1</v>
      </c>
    </row>
    <row r="16" spans="1:101" x14ac:dyDescent="0.2">
      <c r="A16" s="95">
        <v>0</v>
      </c>
      <c r="B16" s="95">
        <v>0</v>
      </c>
      <c r="C16" s="95" t="s">
        <v>165</v>
      </c>
      <c r="D16" s="95">
        <v>0</v>
      </c>
      <c r="E16" s="95" t="s">
        <v>165</v>
      </c>
      <c r="F16" s="95">
        <v>0</v>
      </c>
      <c r="G16" s="95">
        <v>7.666666666666667</v>
      </c>
      <c r="H16" s="95">
        <v>0</v>
      </c>
      <c r="I16" s="95">
        <v>0</v>
      </c>
      <c r="J16" s="95">
        <v>0</v>
      </c>
      <c r="K16" s="96">
        <v>0</v>
      </c>
      <c r="L16" s="95">
        <v>0</v>
      </c>
      <c r="M16" s="95">
        <v>0</v>
      </c>
      <c r="N16" s="95">
        <v>0</v>
      </c>
      <c r="O16" s="95">
        <v>0</v>
      </c>
      <c r="P16" s="95">
        <v>0</v>
      </c>
      <c r="Q16" s="95">
        <v>0</v>
      </c>
      <c r="R16" s="95">
        <v>0</v>
      </c>
      <c r="S16" s="95" t="e">
        <v>#REF!</v>
      </c>
      <c r="T16" s="95" t="e">
        <v>#REF!</v>
      </c>
      <c r="U16" s="95" t="s">
        <v>166</v>
      </c>
      <c r="V16" s="95" t="s">
        <v>166</v>
      </c>
      <c r="W16" s="95" t="s">
        <v>166</v>
      </c>
      <c r="X16" s="95" t="s">
        <v>166</v>
      </c>
      <c r="Y16" s="95" t="s">
        <v>166</v>
      </c>
      <c r="Z16" s="95" t="s">
        <v>166</v>
      </c>
      <c r="AA16" s="95" t="s">
        <v>166</v>
      </c>
      <c r="AB16" s="95" t="s">
        <v>166</v>
      </c>
      <c r="AC16" s="95" t="s">
        <v>166</v>
      </c>
      <c r="AD16" s="95" t="s">
        <v>166</v>
      </c>
      <c r="AE16" s="95" t="s">
        <v>166</v>
      </c>
      <c r="AF16" s="95" t="s">
        <v>166</v>
      </c>
      <c r="AG16" s="95">
        <v>0</v>
      </c>
      <c r="AH16" s="95">
        <v>0</v>
      </c>
      <c r="AI16" s="95">
        <v>0</v>
      </c>
      <c r="AJ16" s="95">
        <v>0</v>
      </c>
      <c r="AK16" s="95" t="b">
        <v>0</v>
      </c>
      <c r="AL16" s="95">
        <v>0</v>
      </c>
      <c r="AM16" s="95">
        <v>0</v>
      </c>
      <c r="AN16" s="95">
        <v>0</v>
      </c>
      <c r="AO16" s="95">
        <v>0</v>
      </c>
      <c r="AP16" s="95">
        <v>0</v>
      </c>
      <c r="AQ16" s="95">
        <v>0</v>
      </c>
      <c r="AR16" s="95">
        <v>0</v>
      </c>
      <c r="AS16" s="95">
        <v>0</v>
      </c>
      <c r="AT16" s="95">
        <v>0</v>
      </c>
      <c r="AU16" s="95">
        <v>0</v>
      </c>
      <c r="AV16" s="95">
        <v>0</v>
      </c>
      <c r="AW16" s="95">
        <v>0</v>
      </c>
      <c r="AX16" s="95">
        <v>0</v>
      </c>
      <c r="AY16" s="95">
        <v>0</v>
      </c>
      <c r="AZ16" s="95">
        <v>0</v>
      </c>
      <c r="BA16" s="95">
        <v>0</v>
      </c>
      <c r="BB16" s="95">
        <v>0</v>
      </c>
      <c r="BC16" s="95">
        <v>0</v>
      </c>
      <c r="BD16" s="95">
        <v>0</v>
      </c>
      <c r="BE16" s="95">
        <v>0</v>
      </c>
      <c r="BF16" s="95">
        <v>0</v>
      </c>
      <c r="BG16" s="95">
        <v>0</v>
      </c>
      <c r="BH16" s="95">
        <v>0</v>
      </c>
      <c r="BI16" s="95">
        <v>0</v>
      </c>
      <c r="BJ16" s="95">
        <v>0</v>
      </c>
      <c r="BK16" s="95">
        <v>0</v>
      </c>
      <c r="BL16" s="95">
        <v>0</v>
      </c>
      <c r="BM16" s="95">
        <v>0</v>
      </c>
      <c r="BN16" s="95">
        <v>0</v>
      </c>
      <c r="BO16" s="95" t="s">
        <v>165</v>
      </c>
      <c r="BP16" s="95">
        <v>0</v>
      </c>
      <c r="BQ16" s="95">
        <v>0</v>
      </c>
      <c r="BR16" s="95">
        <v>0</v>
      </c>
      <c r="BS16" s="95">
        <v>0</v>
      </c>
      <c r="BT16" s="95">
        <v>0</v>
      </c>
      <c r="BU16" s="95">
        <v>0</v>
      </c>
      <c r="BV16" s="95">
        <v>0</v>
      </c>
      <c r="BW16" s="95">
        <v>0</v>
      </c>
      <c r="BX16" s="95">
        <v>0</v>
      </c>
      <c r="BY16" s="95">
        <v>0</v>
      </c>
      <c r="BZ16" s="95">
        <v>0</v>
      </c>
      <c r="CA16" s="95">
        <v>0</v>
      </c>
      <c r="CB16" s="95">
        <v>0</v>
      </c>
      <c r="CC16" s="95">
        <v>0</v>
      </c>
      <c r="CD16" s="95">
        <v>0</v>
      </c>
      <c r="CE16" s="95">
        <v>0</v>
      </c>
      <c r="CF16" s="95">
        <v>0</v>
      </c>
      <c r="CG16" s="97">
        <v>0.1</v>
      </c>
      <c r="CH16" s="97">
        <v>0.1</v>
      </c>
      <c r="CI16" s="97">
        <v>0.1</v>
      </c>
      <c r="CJ16" s="97">
        <v>0.1</v>
      </c>
      <c r="CK16" s="97">
        <v>0.05</v>
      </c>
      <c r="CL16" s="97">
        <v>0.05</v>
      </c>
      <c r="CM16" s="97">
        <v>0.05</v>
      </c>
      <c r="CN16" s="97">
        <v>0.05</v>
      </c>
      <c r="CO16" s="97">
        <v>0.05</v>
      </c>
      <c r="CP16" s="97">
        <v>0</v>
      </c>
      <c r="CQ16" s="97">
        <v>0.2</v>
      </c>
      <c r="CR16" s="97">
        <v>0.25</v>
      </c>
      <c r="CS16" s="97">
        <v>0.1</v>
      </c>
      <c r="CT16" s="97">
        <v>0.2</v>
      </c>
      <c r="CU16" s="97">
        <v>0</v>
      </c>
      <c r="CV16" s="97">
        <v>1</v>
      </c>
    </row>
    <row r="17" spans="1:100" x14ac:dyDescent="0.2">
      <c r="A17" s="95">
        <v>0</v>
      </c>
      <c r="B17" s="95">
        <v>0</v>
      </c>
      <c r="C17" s="95" t="s">
        <v>165</v>
      </c>
      <c r="D17" s="95">
        <v>0</v>
      </c>
      <c r="E17" s="95" t="s">
        <v>165</v>
      </c>
      <c r="F17" s="95">
        <v>0</v>
      </c>
      <c r="G17" s="95">
        <v>7.666666666666667</v>
      </c>
      <c r="H17" s="95">
        <v>0</v>
      </c>
      <c r="I17" s="95">
        <v>0</v>
      </c>
      <c r="J17" s="95">
        <v>0</v>
      </c>
      <c r="K17" s="96">
        <v>0</v>
      </c>
      <c r="L17" s="95">
        <v>0</v>
      </c>
      <c r="M17" s="95">
        <v>0</v>
      </c>
      <c r="N17" s="95">
        <v>0</v>
      </c>
      <c r="O17" s="95">
        <v>0</v>
      </c>
      <c r="P17" s="95">
        <v>0</v>
      </c>
      <c r="Q17" s="95">
        <v>0</v>
      </c>
      <c r="R17" s="95">
        <v>0</v>
      </c>
      <c r="S17" s="95" t="e">
        <v>#REF!</v>
      </c>
      <c r="T17" s="95" t="e">
        <v>#REF!</v>
      </c>
      <c r="U17" s="95" t="s">
        <v>166</v>
      </c>
      <c r="V17" s="95" t="s">
        <v>166</v>
      </c>
      <c r="W17" s="95" t="s">
        <v>166</v>
      </c>
      <c r="X17" s="95" t="s">
        <v>166</v>
      </c>
      <c r="Y17" s="95" t="s">
        <v>166</v>
      </c>
      <c r="Z17" s="95" t="s">
        <v>166</v>
      </c>
      <c r="AA17" s="95" t="s">
        <v>166</v>
      </c>
      <c r="AB17" s="95" t="s">
        <v>166</v>
      </c>
      <c r="AC17" s="95" t="s">
        <v>166</v>
      </c>
      <c r="AD17" s="95" t="s">
        <v>166</v>
      </c>
      <c r="AE17" s="95" t="s">
        <v>166</v>
      </c>
      <c r="AF17" s="95" t="s">
        <v>166</v>
      </c>
      <c r="AG17" s="95">
        <v>0</v>
      </c>
      <c r="AH17" s="95">
        <v>0</v>
      </c>
      <c r="AI17" s="95">
        <v>0</v>
      </c>
      <c r="AJ17" s="95">
        <v>0</v>
      </c>
      <c r="AK17" s="95" t="b">
        <v>0</v>
      </c>
      <c r="AL17" s="95">
        <v>0</v>
      </c>
      <c r="AM17" s="95">
        <v>0</v>
      </c>
      <c r="AN17" s="95">
        <v>0</v>
      </c>
      <c r="AO17" s="95">
        <v>0</v>
      </c>
      <c r="AP17" s="95">
        <v>0</v>
      </c>
      <c r="AQ17" s="95">
        <v>0</v>
      </c>
      <c r="AR17" s="95">
        <v>0</v>
      </c>
      <c r="AS17" s="95">
        <v>0</v>
      </c>
      <c r="AT17" s="95">
        <v>0</v>
      </c>
      <c r="AU17" s="95">
        <v>0</v>
      </c>
      <c r="AV17" s="95">
        <v>0</v>
      </c>
      <c r="AW17" s="95">
        <v>0</v>
      </c>
      <c r="AX17" s="95">
        <v>0</v>
      </c>
      <c r="AY17" s="95">
        <v>0</v>
      </c>
      <c r="AZ17" s="95">
        <v>0</v>
      </c>
      <c r="BA17" s="95">
        <v>0</v>
      </c>
      <c r="BB17" s="95">
        <v>0</v>
      </c>
      <c r="BC17" s="95">
        <v>0</v>
      </c>
      <c r="BD17" s="95">
        <v>0</v>
      </c>
      <c r="BE17" s="95">
        <v>0</v>
      </c>
      <c r="BF17" s="95">
        <v>0</v>
      </c>
      <c r="BG17" s="95">
        <v>0</v>
      </c>
      <c r="BH17" s="95">
        <v>0</v>
      </c>
      <c r="BI17" s="95">
        <v>0</v>
      </c>
      <c r="BJ17" s="95">
        <v>0</v>
      </c>
      <c r="BK17" s="95">
        <v>0</v>
      </c>
      <c r="BL17" s="95">
        <v>0</v>
      </c>
      <c r="BM17" s="95">
        <v>0</v>
      </c>
      <c r="BN17" s="95">
        <v>0</v>
      </c>
      <c r="BO17" s="95" t="s">
        <v>165</v>
      </c>
      <c r="BP17" s="95">
        <v>0</v>
      </c>
      <c r="BQ17" s="95">
        <v>0</v>
      </c>
      <c r="BR17" s="95">
        <v>0</v>
      </c>
      <c r="BS17" s="95">
        <v>0</v>
      </c>
      <c r="BT17" s="95">
        <v>0</v>
      </c>
      <c r="BU17" s="95">
        <v>0</v>
      </c>
      <c r="BV17" s="95">
        <v>0</v>
      </c>
      <c r="BW17" s="95">
        <v>0</v>
      </c>
      <c r="BX17" s="95">
        <v>0</v>
      </c>
      <c r="BY17" s="95">
        <v>0</v>
      </c>
      <c r="BZ17" s="95">
        <v>0</v>
      </c>
      <c r="CA17" s="95">
        <v>0</v>
      </c>
      <c r="CB17" s="95">
        <v>0</v>
      </c>
      <c r="CC17" s="95">
        <v>0</v>
      </c>
      <c r="CD17" s="95">
        <v>0</v>
      </c>
      <c r="CE17" s="95">
        <v>0</v>
      </c>
      <c r="CF17" s="95">
        <v>0</v>
      </c>
      <c r="CG17" s="97">
        <v>0.1</v>
      </c>
      <c r="CH17" s="97">
        <v>0.1</v>
      </c>
      <c r="CI17" s="97">
        <v>0.1</v>
      </c>
      <c r="CJ17" s="97">
        <v>0.1</v>
      </c>
      <c r="CK17" s="97">
        <v>0.05</v>
      </c>
      <c r="CL17" s="97">
        <v>0.05</v>
      </c>
      <c r="CM17" s="97">
        <v>0.05</v>
      </c>
      <c r="CN17" s="97">
        <v>0.05</v>
      </c>
      <c r="CO17" s="97">
        <v>0.05</v>
      </c>
      <c r="CP17" s="97">
        <v>0</v>
      </c>
      <c r="CQ17" s="97">
        <v>0.2</v>
      </c>
      <c r="CR17" s="97">
        <v>0.25</v>
      </c>
      <c r="CS17" s="97">
        <v>0.1</v>
      </c>
      <c r="CT17" s="97">
        <v>0.2</v>
      </c>
      <c r="CU17" s="97">
        <v>0</v>
      </c>
      <c r="CV17" s="97">
        <v>1</v>
      </c>
    </row>
    <row r="18" spans="1:100" x14ac:dyDescent="0.2">
      <c r="A18" s="95">
        <v>0</v>
      </c>
      <c r="B18" s="95">
        <v>0</v>
      </c>
      <c r="C18" s="95" t="s">
        <v>165</v>
      </c>
      <c r="D18" s="95">
        <v>0</v>
      </c>
      <c r="E18" s="95" t="s">
        <v>165</v>
      </c>
      <c r="F18" s="95">
        <v>0</v>
      </c>
      <c r="G18" s="95">
        <v>2.4</v>
      </c>
      <c r="H18" s="95">
        <v>0</v>
      </c>
      <c r="I18" s="95">
        <v>0</v>
      </c>
      <c r="J18" s="95">
        <v>0</v>
      </c>
      <c r="K18" s="96">
        <v>44484</v>
      </c>
      <c r="L18" s="95">
        <v>0</v>
      </c>
      <c r="M18" s="95">
        <v>0</v>
      </c>
      <c r="N18" s="95">
        <v>0</v>
      </c>
      <c r="O18" s="95">
        <v>0</v>
      </c>
      <c r="P18" s="95">
        <v>0</v>
      </c>
      <c r="Q18" s="95">
        <v>0</v>
      </c>
      <c r="R18" s="95">
        <v>0</v>
      </c>
      <c r="S18" s="95" t="e">
        <v>#REF!</v>
      </c>
      <c r="T18" s="95" t="e">
        <v>#REF!</v>
      </c>
      <c r="U18" s="95" t="s">
        <v>166</v>
      </c>
      <c r="V18" s="95" t="s">
        <v>166</v>
      </c>
      <c r="W18" s="95" t="s">
        <v>166</v>
      </c>
      <c r="X18" s="95" t="s">
        <v>166</v>
      </c>
      <c r="Y18" s="95" t="s">
        <v>166</v>
      </c>
      <c r="Z18" s="95" t="s">
        <v>166</v>
      </c>
      <c r="AA18" s="95" t="s">
        <v>166</v>
      </c>
      <c r="AB18" s="95" t="s">
        <v>166</v>
      </c>
      <c r="AC18" s="95" t="s">
        <v>166</v>
      </c>
      <c r="AD18" s="95" t="s">
        <v>166</v>
      </c>
      <c r="AE18" s="95" t="s">
        <v>166</v>
      </c>
      <c r="AF18" s="95" t="s">
        <v>166</v>
      </c>
      <c r="AG18" s="95">
        <v>0</v>
      </c>
      <c r="AH18" s="95">
        <v>0</v>
      </c>
      <c r="AI18" s="95">
        <v>0</v>
      </c>
      <c r="AJ18" s="95">
        <v>0</v>
      </c>
      <c r="AK18" s="95" t="b">
        <v>0</v>
      </c>
      <c r="AL18" s="95">
        <v>0</v>
      </c>
      <c r="AM18" s="95">
        <v>0</v>
      </c>
      <c r="AN18" s="95">
        <v>0</v>
      </c>
      <c r="AO18" s="95">
        <v>0</v>
      </c>
      <c r="AP18" s="95">
        <v>0</v>
      </c>
      <c r="AQ18" s="95">
        <v>0</v>
      </c>
      <c r="AR18" s="95">
        <v>0</v>
      </c>
      <c r="AS18" s="95">
        <v>0</v>
      </c>
      <c r="AT18" s="95">
        <v>0</v>
      </c>
      <c r="AU18" s="95">
        <v>0</v>
      </c>
      <c r="AV18" s="95">
        <v>0</v>
      </c>
      <c r="AW18" s="95">
        <v>0</v>
      </c>
      <c r="AX18" s="95">
        <v>0</v>
      </c>
      <c r="AY18" s="95">
        <v>0</v>
      </c>
      <c r="AZ18" s="95">
        <v>0</v>
      </c>
      <c r="BA18" s="95">
        <v>0</v>
      </c>
      <c r="BB18" s="95">
        <v>0</v>
      </c>
      <c r="BC18" s="95">
        <v>0</v>
      </c>
      <c r="BD18" s="95">
        <v>0</v>
      </c>
      <c r="BE18" s="95">
        <v>0</v>
      </c>
      <c r="BF18" s="95">
        <v>0</v>
      </c>
      <c r="BG18" s="95">
        <v>0</v>
      </c>
      <c r="BH18" s="95">
        <v>0</v>
      </c>
      <c r="BI18" s="95">
        <v>0</v>
      </c>
      <c r="BJ18" s="95">
        <v>0</v>
      </c>
      <c r="BK18" s="95">
        <v>0</v>
      </c>
      <c r="BL18" s="95">
        <v>0</v>
      </c>
      <c r="BM18" s="95">
        <v>0</v>
      </c>
      <c r="BN18" s="95">
        <v>0</v>
      </c>
      <c r="BO18" s="95" t="s">
        <v>165</v>
      </c>
      <c r="BP18" s="95">
        <v>0</v>
      </c>
      <c r="BQ18" s="95">
        <v>0</v>
      </c>
      <c r="BR18" s="95">
        <v>0</v>
      </c>
      <c r="BS18" s="95">
        <v>0</v>
      </c>
      <c r="BT18" s="95">
        <v>0</v>
      </c>
      <c r="BU18" s="95">
        <v>0</v>
      </c>
      <c r="BV18" s="95">
        <v>0</v>
      </c>
      <c r="BW18" s="95">
        <v>0</v>
      </c>
      <c r="BX18" s="95">
        <v>0</v>
      </c>
      <c r="BY18" s="95">
        <v>0</v>
      </c>
      <c r="BZ18" s="95">
        <v>0</v>
      </c>
      <c r="CA18" s="95">
        <v>0</v>
      </c>
      <c r="CB18" s="95">
        <v>0</v>
      </c>
      <c r="CC18" s="95">
        <v>0</v>
      </c>
      <c r="CD18" s="95">
        <v>0</v>
      </c>
      <c r="CE18" s="95">
        <v>0</v>
      </c>
      <c r="CF18" s="95">
        <v>0</v>
      </c>
      <c r="CG18" s="97">
        <v>0.1</v>
      </c>
      <c r="CH18" s="97">
        <v>0.1</v>
      </c>
      <c r="CI18" s="97">
        <v>0.1</v>
      </c>
      <c r="CJ18" s="97">
        <v>0.1</v>
      </c>
      <c r="CK18" s="97">
        <v>0.05</v>
      </c>
      <c r="CL18" s="97">
        <v>0.05</v>
      </c>
      <c r="CM18" s="97">
        <v>0.05</v>
      </c>
      <c r="CN18" s="97">
        <v>0.05</v>
      </c>
      <c r="CO18" s="97">
        <v>0.05</v>
      </c>
      <c r="CP18" s="97">
        <v>0</v>
      </c>
      <c r="CQ18" s="97">
        <v>0.2</v>
      </c>
      <c r="CR18" s="97">
        <v>0.25</v>
      </c>
      <c r="CS18" s="97">
        <v>0.1</v>
      </c>
      <c r="CT18" s="97">
        <v>0.2</v>
      </c>
      <c r="CU18" s="97">
        <v>0</v>
      </c>
      <c r="CV18" s="97">
        <v>1</v>
      </c>
    </row>
    <row r="19" spans="1:100" x14ac:dyDescent="0.2">
      <c r="A19" s="95" t="s">
        <v>182</v>
      </c>
      <c r="B19" s="95" t="s">
        <v>183</v>
      </c>
      <c r="C19" s="95" t="s">
        <v>168</v>
      </c>
      <c r="D19" s="95" t="s">
        <v>184</v>
      </c>
      <c r="E19" s="95" t="s">
        <v>170</v>
      </c>
      <c r="F19" s="95">
        <v>0</v>
      </c>
      <c r="G19" s="95">
        <v>2.6</v>
      </c>
      <c r="H19" s="95">
        <v>0</v>
      </c>
      <c r="I19" s="95" t="s">
        <v>185</v>
      </c>
      <c r="J19" s="95" t="s">
        <v>170</v>
      </c>
      <c r="K19" s="96">
        <v>44484</v>
      </c>
      <c r="L19" s="95" t="s">
        <v>186</v>
      </c>
      <c r="M19" s="95">
        <v>0</v>
      </c>
      <c r="N19" s="95">
        <v>0</v>
      </c>
      <c r="O19" s="95">
        <v>0</v>
      </c>
      <c r="P19" s="95">
        <v>0</v>
      </c>
      <c r="Q19" s="95">
        <v>0</v>
      </c>
      <c r="R19" s="95">
        <v>0</v>
      </c>
      <c r="S19" s="95" t="e">
        <v>#REF!</v>
      </c>
      <c r="T19" s="95" t="e">
        <v>#REF!</v>
      </c>
      <c r="U19" s="95" t="s">
        <v>166</v>
      </c>
      <c r="V19" s="95" t="s">
        <v>166</v>
      </c>
      <c r="W19" s="95" t="s">
        <v>166</v>
      </c>
      <c r="X19" s="95" t="s">
        <v>166</v>
      </c>
      <c r="Y19" s="95" t="s">
        <v>166</v>
      </c>
      <c r="Z19" s="95" t="s">
        <v>166</v>
      </c>
      <c r="AA19" s="95" t="s">
        <v>166</v>
      </c>
      <c r="AB19" s="95" t="s">
        <v>166</v>
      </c>
      <c r="AC19" s="95" t="s">
        <v>166</v>
      </c>
      <c r="AD19" s="95" t="s">
        <v>166</v>
      </c>
      <c r="AE19" s="95" t="s">
        <v>166</v>
      </c>
      <c r="AF19" s="95" t="s">
        <v>166</v>
      </c>
      <c r="AG19" s="95">
        <v>0</v>
      </c>
      <c r="AH19" s="95">
        <v>0</v>
      </c>
      <c r="AI19" s="95">
        <v>0</v>
      </c>
      <c r="AJ19" s="95">
        <v>0</v>
      </c>
      <c r="AK19" s="95" t="b">
        <v>0</v>
      </c>
      <c r="AL19" s="95">
        <v>0</v>
      </c>
      <c r="AM19" s="95">
        <v>0</v>
      </c>
      <c r="AN19" s="95">
        <v>0</v>
      </c>
      <c r="AO19" s="95">
        <v>0</v>
      </c>
      <c r="AP19" s="95">
        <v>0</v>
      </c>
      <c r="AQ19" s="95">
        <v>0</v>
      </c>
      <c r="AR19" s="95">
        <v>0</v>
      </c>
      <c r="AS19" s="95">
        <v>0</v>
      </c>
      <c r="AT19" s="95">
        <v>0</v>
      </c>
      <c r="AU19" s="95">
        <v>0</v>
      </c>
      <c r="AV19" s="95">
        <v>0</v>
      </c>
      <c r="AW19" s="95">
        <v>0</v>
      </c>
      <c r="AX19" s="95">
        <v>0</v>
      </c>
      <c r="AY19" s="95">
        <v>0</v>
      </c>
      <c r="AZ19" s="95">
        <v>0</v>
      </c>
      <c r="BA19" s="95">
        <v>0</v>
      </c>
      <c r="BB19" s="95">
        <v>0</v>
      </c>
      <c r="BC19" s="95">
        <v>0</v>
      </c>
      <c r="BD19" s="95">
        <v>0</v>
      </c>
      <c r="BE19" s="95">
        <v>0</v>
      </c>
      <c r="BF19" s="95">
        <v>0</v>
      </c>
      <c r="BG19" s="95">
        <v>0</v>
      </c>
      <c r="BH19" s="95">
        <v>0</v>
      </c>
      <c r="BI19" s="95">
        <v>0</v>
      </c>
      <c r="BJ19" s="95">
        <v>0</v>
      </c>
      <c r="BK19" s="95">
        <v>0</v>
      </c>
      <c r="BL19" s="95">
        <v>0</v>
      </c>
      <c r="BM19" s="95">
        <v>0</v>
      </c>
      <c r="BN19" s="95">
        <v>0</v>
      </c>
      <c r="BO19" s="95" t="s">
        <v>165</v>
      </c>
      <c r="BP19" s="95">
        <v>0</v>
      </c>
      <c r="BQ19" s="95">
        <v>0</v>
      </c>
      <c r="BR19" s="95">
        <v>0</v>
      </c>
      <c r="BS19" s="95">
        <v>0</v>
      </c>
      <c r="BT19" s="95">
        <v>0</v>
      </c>
      <c r="BU19" s="95">
        <v>0</v>
      </c>
      <c r="BV19" s="95">
        <v>0</v>
      </c>
      <c r="BW19" s="95">
        <v>0</v>
      </c>
      <c r="BX19" s="95">
        <v>0</v>
      </c>
      <c r="BY19" s="95">
        <v>0</v>
      </c>
      <c r="BZ19" s="95">
        <v>0</v>
      </c>
      <c r="CA19" s="95">
        <v>0</v>
      </c>
      <c r="CB19" s="95">
        <v>0</v>
      </c>
      <c r="CC19" s="95">
        <v>0</v>
      </c>
      <c r="CD19" s="95">
        <v>0</v>
      </c>
      <c r="CE19" s="95">
        <v>0</v>
      </c>
      <c r="CF19" s="95">
        <v>0</v>
      </c>
      <c r="CG19" s="97">
        <v>0.1</v>
      </c>
      <c r="CH19" s="97">
        <v>0.1</v>
      </c>
      <c r="CI19" s="97">
        <v>0.1</v>
      </c>
      <c r="CJ19" s="97">
        <v>0.1</v>
      </c>
      <c r="CK19" s="97">
        <v>0.05</v>
      </c>
      <c r="CL19" s="97">
        <v>0.05</v>
      </c>
      <c r="CM19" s="97">
        <v>0.05</v>
      </c>
      <c r="CN19" s="97">
        <v>0.05</v>
      </c>
      <c r="CO19" s="97">
        <v>0.05</v>
      </c>
      <c r="CP19" s="97">
        <v>0</v>
      </c>
      <c r="CQ19" s="97">
        <v>0.2</v>
      </c>
      <c r="CR19" s="97">
        <v>0.25</v>
      </c>
      <c r="CS19" s="97">
        <v>0.1</v>
      </c>
      <c r="CT19" s="97">
        <v>0.2</v>
      </c>
      <c r="CU19" s="97">
        <v>0</v>
      </c>
      <c r="CV19" s="97">
        <v>1</v>
      </c>
    </row>
    <row r="20" spans="1:100" x14ac:dyDescent="0.2">
      <c r="A20" s="95" t="s">
        <v>182</v>
      </c>
      <c r="B20" s="95" t="s">
        <v>183</v>
      </c>
      <c r="C20" s="95" t="s">
        <v>168</v>
      </c>
      <c r="D20" s="95" t="s">
        <v>184</v>
      </c>
      <c r="E20" s="95" t="s">
        <v>170</v>
      </c>
      <c r="F20" s="95">
        <v>0</v>
      </c>
      <c r="G20" s="95">
        <v>2.6</v>
      </c>
      <c r="H20" s="95">
        <v>0</v>
      </c>
      <c r="I20" s="95" t="s">
        <v>185</v>
      </c>
      <c r="J20" s="95" t="s">
        <v>170</v>
      </c>
      <c r="K20" s="96">
        <v>44484</v>
      </c>
      <c r="L20" s="95" t="s">
        <v>186</v>
      </c>
      <c r="M20" s="95">
        <v>0</v>
      </c>
      <c r="N20" s="95">
        <v>0</v>
      </c>
      <c r="O20" s="95">
        <v>0</v>
      </c>
      <c r="P20" s="95">
        <v>0</v>
      </c>
      <c r="Q20" s="95">
        <v>0</v>
      </c>
      <c r="R20" s="95">
        <v>0</v>
      </c>
      <c r="S20" s="95" t="e">
        <v>#REF!</v>
      </c>
      <c r="T20" s="95" t="e">
        <v>#REF!</v>
      </c>
      <c r="U20" s="95" t="s">
        <v>166</v>
      </c>
      <c r="V20" s="95" t="s">
        <v>166</v>
      </c>
      <c r="W20" s="95" t="s">
        <v>166</v>
      </c>
      <c r="X20" s="95" t="s">
        <v>166</v>
      </c>
      <c r="Y20" s="95" t="s">
        <v>166</v>
      </c>
      <c r="Z20" s="95" t="s">
        <v>166</v>
      </c>
      <c r="AA20" s="95" t="s">
        <v>166</v>
      </c>
      <c r="AB20" s="95" t="s">
        <v>166</v>
      </c>
      <c r="AC20" s="95" t="s">
        <v>166</v>
      </c>
      <c r="AD20" s="95" t="s">
        <v>166</v>
      </c>
      <c r="AE20" s="95" t="s">
        <v>166</v>
      </c>
      <c r="AF20" s="95" t="s">
        <v>166</v>
      </c>
      <c r="AG20" s="95">
        <v>0</v>
      </c>
      <c r="AH20" s="95">
        <v>0</v>
      </c>
      <c r="AI20" s="95">
        <v>0</v>
      </c>
      <c r="AJ20" s="95">
        <v>0</v>
      </c>
      <c r="AK20" s="95" t="b">
        <v>0</v>
      </c>
      <c r="AL20" s="95" t="b">
        <v>0</v>
      </c>
      <c r="AM20" s="95">
        <v>0</v>
      </c>
      <c r="AN20" s="95">
        <v>0</v>
      </c>
      <c r="AO20" s="95">
        <v>0</v>
      </c>
      <c r="AP20" s="95">
        <v>0</v>
      </c>
      <c r="AQ20" s="95">
        <v>0</v>
      </c>
      <c r="AR20" s="95">
        <v>0</v>
      </c>
      <c r="AS20" s="95">
        <v>0</v>
      </c>
      <c r="AT20" s="95">
        <v>0</v>
      </c>
      <c r="AU20" s="95">
        <v>0</v>
      </c>
      <c r="AV20" s="95">
        <v>0</v>
      </c>
      <c r="AW20" s="95">
        <v>0</v>
      </c>
      <c r="AX20" s="95">
        <v>0</v>
      </c>
      <c r="AY20" s="95">
        <v>0</v>
      </c>
      <c r="AZ20" s="95">
        <v>0</v>
      </c>
      <c r="BA20" s="95">
        <v>0</v>
      </c>
      <c r="BB20" s="95">
        <v>0</v>
      </c>
      <c r="BC20" s="95">
        <v>0</v>
      </c>
      <c r="BD20" s="95">
        <v>0</v>
      </c>
      <c r="BE20" s="95">
        <v>0</v>
      </c>
      <c r="BF20" s="95">
        <v>0</v>
      </c>
      <c r="BG20" s="95">
        <v>0</v>
      </c>
      <c r="BH20" s="95">
        <v>0</v>
      </c>
      <c r="BI20" s="95">
        <v>0</v>
      </c>
      <c r="BJ20" s="95">
        <v>0</v>
      </c>
      <c r="BK20" s="95">
        <v>0</v>
      </c>
      <c r="BL20" s="95">
        <v>0</v>
      </c>
      <c r="BM20" s="95">
        <v>0</v>
      </c>
      <c r="BN20" s="95">
        <v>0</v>
      </c>
      <c r="BO20" s="95" t="s">
        <v>165</v>
      </c>
      <c r="BP20" s="95">
        <v>0</v>
      </c>
      <c r="BQ20" s="95">
        <v>0</v>
      </c>
      <c r="BR20" s="95">
        <v>0</v>
      </c>
      <c r="BS20" s="95">
        <v>0</v>
      </c>
      <c r="BT20" s="95">
        <v>0</v>
      </c>
      <c r="BU20" s="95">
        <v>0</v>
      </c>
      <c r="BV20" s="95">
        <v>0</v>
      </c>
      <c r="BW20" s="95">
        <v>0</v>
      </c>
      <c r="BX20" s="95">
        <v>0</v>
      </c>
      <c r="BY20" s="95">
        <v>0</v>
      </c>
      <c r="BZ20" s="95">
        <v>0</v>
      </c>
      <c r="CA20" s="95">
        <v>0</v>
      </c>
      <c r="CB20" s="95">
        <v>0</v>
      </c>
      <c r="CC20" s="95">
        <v>0</v>
      </c>
      <c r="CD20" s="95">
        <v>0</v>
      </c>
      <c r="CE20" s="95">
        <v>0</v>
      </c>
      <c r="CF20" s="95">
        <v>0</v>
      </c>
      <c r="CG20" s="97">
        <v>0.1</v>
      </c>
      <c r="CH20" s="97">
        <v>0.1</v>
      </c>
      <c r="CI20" s="97">
        <v>0.1</v>
      </c>
      <c r="CJ20" s="97">
        <v>0.1</v>
      </c>
      <c r="CK20" s="97">
        <v>0.05</v>
      </c>
      <c r="CL20" s="97">
        <v>0.05</v>
      </c>
      <c r="CM20" s="97">
        <v>0.05</v>
      </c>
      <c r="CN20" s="97">
        <v>0.05</v>
      </c>
      <c r="CO20" s="97">
        <v>0.05</v>
      </c>
      <c r="CP20" s="97">
        <v>0</v>
      </c>
      <c r="CQ20" s="97">
        <v>0.2</v>
      </c>
      <c r="CR20" s="97">
        <v>0.25</v>
      </c>
      <c r="CS20" s="97">
        <v>0.1</v>
      </c>
      <c r="CT20" s="97">
        <v>0.2</v>
      </c>
      <c r="CU20" s="97">
        <v>0</v>
      </c>
      <c r="CV20" s="97">
        <v>1</v>
      </c>
    </row>
    <row r="21" spans="1:100" x14ac:dyDescent="0.2">
      <c r="A21" s="95" t="s">
        <v>182</v>
      </c>
      <c r="B21" s="95" t="s">
        <v>183</v>
      </c>
      <c r="C21" s="95" t="s">
        <v>168</v>
      </c>
      <c r="D21" s="95" t="s">
        <v>184</v>
      </c>
      <c r="E21" s="95" t="s">
        <v>170</v>
      </c>
      <c r="F21" s="95">
        <v>0</v>
      </c>
      <c r="G21" s="95">
        <v>2.6</v>
      </c>
      <c r="H21" s="95">
        <v>0</v>
      </c>
      <c r="I21" s="95" t="s">
        <v>185</v>
      </c>
      <c r="J21" s="95" t="s">
        <v>170</v>
      </c>
      <c r="K21" s="96">
        <v>44484</v>
      </c>
      <c r="L21" s="95" t="s">
        <v>186</v>
      </c>
      <c r="M21" s="95">
        <v>0</v>
      </c>
      <c r="N21" s="95">
        <v>0</v>
      </c>
      <c r="O21" s="95">
        <v>0</v>
      </c>
      <c r="P21" s="95">
        <v>0</v>
      </c>
      <c r="Q21" s="95">
        <v>0</v>
      </c>
      <c r="R21" s="95">
        <v>0</v>
      </c>
      <c r="S21" s="95" t="e">
        <v>#REF!</v>
      </c>
      <c r="T21" s="95" t="e">
        <v>#REF!</v>
      </c>
      <c r="U21" s="95" t="s">
        <v>166</v>
      </c>
      <c r="V21" s="95" t="s">
        <v>166</v>
      </c>
      <c r="W21" s="95" t="s">
        <v>166</v>
      </c>
      <c r="X21" s="95" t="s">
        <v>166</v>
      </c>
      <c r="Y21" s="95" t="s">
        <v>166</v>
      </c>
      <c r="Z21" s="95" t="s">
        <v>166</v>
      </c>
      <c r="AA21" s="95" t="s">
        <v>166</v>
      </c>
      <c r="AB21" s="95" t="s">
        <v>166</v>
      </c>
      <c r="AC21" s="95" t="s">
        <v>166</v>
      </c>
      <c r="AD21" s="95" t="s">
        <v>166</v>
      </c>
      <c r="AE21" s="95" t="s">
        <v>166</v>
      </c>
      <c r="AF21" s="95" t="s">
        <v>166</v>
      </c>
      <c r="AG21" s="95">
        <v>0</v>
      </c>
      <c r="AH21" s="95">
        <v>0</v>
      </c>
      <c r="AI21" s="95">
        <v>0</v>
      </c>
      <c r="AJ21" s="95">
        <v>0</v>
      </c>
      <c r="AK21" s="95" t="b">
        <v>0</v>
      </c>
      <c r="AL21" s="95" t="b">
        <v>0</v>
      </c>
      <c r="AM21" s="95">
        <v>0</v>
      </c>
      <c r="AN21" s="95">
        <v>0</v>
      </c>
      <c r="AO21" s="95">
        <v>0</v>
      </c>
      <c r="AP21" s="95">
        <v>0</v>
      </c>
      <c r="AQ21" s="95">
        <v>0</v>
      </c>
      <c r="AR21" s="95">
        <v>0</v>
      </c>
      <c r="AS21" s="95">
        <v>0</v>
      </c>
      <c r="AT21" s="95">
        <v>0</v>
      </c>
      <c r="AU21" s="95">
        <v>0</v>
      </c>
      <c r="AV21" s="95">
        <v>0</v>
      </c>
      <c r="AW21" s="95">
        <v>0</v>
      </c>
      <c r="AX21" s="95">
        <v>0</v>
      </c>
      <c r="AY21" s="95">
        <v>0</v>
      </c>
      <c r="AZ21" s="95">
        <v>0</v>
      </c>
      <c r="BA21" s="95">
        <v>0</v>
      </c>
      <c r="BB21" s="95">
        <v>0</v>
      </c>
      <c r="BC21" s="95">
        <v>0</v>
      </c>
      <c r="BD21" s="95">
        <v>0</v>
      </c>
      <c r="BE21" s="95">
        <v>0</v>
      </c>
      <c r="BF21" s="95">
        <v>0</v>
      </c>
      <c r="BG21" s="95">
        <v>0</v>
      </c>
      <c r="BH21" s="95">
        <v>0</v>
      </c>
      <c r="BI21" s="95">
        <v>0</v>
      </c>
      <c r="BJ21" s="95">
        <v>0</v>
      </c>
      <c r="BK21" s="95">
        <v>0</v>
      </c>
      <c r="BL21" s="95">
        <v>0</v>
      </c>
      <c r="BM21" s="95">
        <v>0</v>
      </c>
      <c r="BN21" s="95">
        <v>0</v>
      </c>
      <c r="BO21" s="95" t="s">
        <v>165</v>
      </c>
      <c r="BP21" s="95">
        <v>0</v>
      </c>
      <c r="BQ21" s="95">
        <v>0</v>
      </c>
      <c r="BR21" s="95">
        <v>0</v>
      </c>
      <c r="BS21" s="95">
        <v>0</v>
      </c>
      <c r="BT21" s="95">
        <v>0</v>
      </c>
      <c r="BU21" s="95">
        <v>0</v>
      </c>
      <c r="BV21" s="95">
        <v>0</v>
      </c>
      <c r="BW21" s="95">
        <v>0</v>
      </c>
      <c r="BX21" s="95">
        <v>0</v>
      </c>
      <c r="BY21" s="95">
        <v>0</v>
      </c>
      <c r="BZ21" s="95">
        <v>0</v>
      </c>
      <c r="CA21" s="95">
        <v>0</v>
      </c>
      <c r="CB21" s="95">
        <v>0</v>
      </c>
      <c r="CC21" s="95">
        <v>0</v>
      </c>
      <c r="CD21" s="95">
        <v>0</v>
      </c>
      <c r="CE21" s="95">
        <v>0</v>
      </c>
      <c r="CF21" s="95">
        <v>0</v>
      </c>
      <c r="CG21" s="97">
        <v>0.1</v>
      </c>
      <c r="CH21" s="97">
        <v>0.1</v>
      </c>
      <c r="CI21" s="97">
        <v>0.1</v>
      </c>
      <c r="CJ21" s="97">
        <v>0.1</v>
      </c>
      <c r="CK21" s="97">
        <v>0.05</v>
      </c>
      <c r="CL21" s="97">
        <v>0.05</v>
      </c>
      <c r="CM21" s="97">
        <v>0.05</v>
      </c>
      <c r="CN21" s="97">
        <v>0.05</v>
      </c>
      <c r="CO21" s="97">
        <v>0.05</v>
      </c>
      <c r="CP21" s="97">
        <v>0</v>
      </c>
      <c r="CQ21" s="97">
        <v>0.2</v>
      </c>
      <c r="CR21" s="97">
        <v>0.25</v>
      </c>
      <c r="CS21" s="97">
        <v>0.1</v>
      </c>
      <c r="CT21" s="97">
        <v>0.2</v>
      </c>
      <c r="CU21" s="97">
        <v>0</v>
      </c>
      <c r="CV21" s="97">
        <v>1</v>
      </c>
    </row>
    <row r="22" spans="1:100" x14ac:dyDescent="0.2">
      <c r="A22" s="95" t="s">
        <v>182</v>
      </c>
      <c r="B22" s="95" t="s">
        <v>183</v>
      </c>
      <c r="C22" s="95" t="s">
        <v>168</v>
      </c>
      <c r="D22" s="95" t="s">
        <v>184</v>
      </c>
      <c r="E22" s="95" t="s">
        <v>170</v>
      </c>
      <c r="F22" s="95">
        <v>0</v>
      </c>
      <c r="G22" s="95">
        <v>2.6</v>
      </c>
      <c r="H22" s="95">
        <v>0</v>
      </c>
      <c r="I22" s="95" t="s">
        <v>185</v>
      </c>
      <c r="J22" s="95" t="s">
        <v>170</v>
      </c>
      <c r="K22" s="96">
        <v>44484</v>
      </c>
      <c r="L22" s="95" t="s">
        <v>186</v>
      </c>
      <c r="M22" s="95">
        <v>0</v>
      </c>
      <c r="N22" s="95">
        <v>0</v>
      </c>
      <c r="O22" s="95">
        <v>0</v>
      </c>
      <c r="P22" s="95">
        <v>0</v>
      </c>
      <c r="Q22" s="95">
        <v>0</v>
      </c>
      <c r="R22" s="95">
        <v>0</v>
      </c>
      <c r="S22" s="95" t="e">
        <v>#REF!</v>
      </c>
      <c r="T22" s="95" t="e">
        <v>#REF!</v>
      </c>
      <c r="U22" s="95" t="s">
        <v>166</v>
      </c>
      <c r="V22" s="95" t="s">
        <v>166</v>
      </c>
      <c r="W22" s="95" t="s">
        <v>166</v>
      </c>
      <c r="X22" s="95" t="s">
        <v>166</v>
      </c>
      <c r="Y22" s="95" t="s">
        <v>166</v>
      </c>
      <c r="Z22" s="95" t="s">
        <v>166</v>
      </c>
      <c r="AA22" s="95" t="s">
        <v>166</v>
      </c>
      <c r="AB22" s="95" t="s">
        <v>166</v>
      </c>
      <c r="AC22" s="95" t="s">
        <v>166</v>
      </c>
      <c r="AD22" s="95" t="s">
        <v>166</v>
      </c>
      <c r="AE22" s="95" t="s">
        <v>166</v>
      </c>
      <c r="AF22" s="95" t="s">
        <v>166</v>
      </c>
      <c r="AG22" s="95">
        <v>0</v>
      </c>
      <c r="AH22" s="95">
        <v>0</v>
      </c>
      <c r="AI22" s="95">
        <v>0</v>
      </c>
      <c r="AJ22" s="95">
        <v>0</v>
      </c>
      <c r="AK22" s="95" t="b">
        <v>0</v>
      </c>
      <c r="AL22" s="95" t="b">
        <v>0</v>
      </c>
      <c r="AM22" s="95">
        <v>0</v>
      </c>
      <c r="AN22" s="95">
        <v>0</v>
      </c>
      <c r="AO22" s="95">
        <v>0</v>
      </c>
      <c r="AP22" s="95">
        <v>0</v>
      </c>
      <c r="AQ22" s="95">
        <v>0</v>
      </c>
      <c r="AR22" s="95">
        <v>0</v>
      </c>
      <c r="AS22" s="95">
        <v>0</v>
      </c>
      <c r="AT22" s="95">
        <v>0</v>
      </c>
      <c r="AU22" s="95">
        <v>0</v>
      </c>
      <c r="AV22" s="95">
        <v>0</v>
      </c>
      <c r="AW22" s="95">
        <v>0</v>
      </c>
      <c r="AX22" s="95">
        <v>0</v>
      </c>
      <c r="AY22" s="95">
        <v>0</v>
      </c>
      <c r="AZ22" s="95">
        <v>0</v>
      </c>
      <c r="BA22" s="95">
        <v>0</v>
      </c>
      <c r="BB22" s="95">
        <v>0</v>
      </c>
      <c r="BC22" s="95">
        <v>0</v>
      </c>
      <c r="BD22" s="95">
        <v>0</v>
      </c>
      <c r="BE22" s="95">
        <v>0</v>
      </c>
      <c r="BF22" s="95">
        <v>0</v>
      </c>
      <c r="BG22" s="95">
        <v>0</v>
      </c>
      <c r="BH22" s="95">
        <v>0</v>
      </c>
      <c r="BI22" s="95">
        <v>0</v>
      </c>
      <c r="BJ22" s="95">
        <v>0</v>
      </c>
      <c r="BK22" s="95">
        <v>0</v>
      </c>
      <c r="BL22" s="95">
        <v>0</v>
      </c>
      <c r="BM22" s="95">
        <v>0</v>
      </c>
      <c r="BN22" s="95">
        <v>0</v>
      </c>
      <c r="BO22" s="95" t="s">
        <v>165</v>
      </c>
      <c r="BP22" s="95">
        <v>0</v>
      </c>
      <c r="BQ22" s="95">
        <v>0</v>
      </c>
      <c r="BR22" s="95">
        <v>0</v>
      </c>
      <c r="BS22" s="95">
        <v>0</v>
      </c>
      <c r="BT22" s="95">
        <v>0</v>
      </c>
      <c r="BU22" s="95">
        <v>0</v>
      </c>
      <c r="BV22" s="95">
        <v>0</v>
      </c>
      <c r="BW22" s="95">
        <v>0</v>
      </c>
      <c r="BX22" s="95">
        <v>0</v>
      </c>
      <c r="BY22" s="95">
        <v>0</v>
      </c>
      <c r="BZ22" s="95">
        <v>0</v>
      </c>
      <c r="CA22" s="95">
        <v>0</v>
      </c>
      <c r="CB22" s="95">
        <v>0</v>
      </c>
      <c r="CC22" s="95">
        <v>0</v>
      </c>
      <c r="CD22" s="95">
        <v>0</v>
      </c>
      <c r="CE22" s="95">
        <v>0</v>
      </c>
      <c r="CF22" s="95">
        <v>0</v>
      </c>
      <c r="CG22" s="97">
        <v>0.1</v>
      </c>
      <c r="CH22" s="97">
        <v>0.1</v>
      </c>
      <c r="CI22" s="97">
        <v>0.1</v>
      </c>
      <c r="CJ22" s="97">
        <v>0.1</v>
      </c>
      <c r="CK22" s="97">
        <v>0.05</v>
      </c>
      <c r="CL22" s="97">
        <v>0.05</v>
      </c>
      <c r="CM22" s="97">
        <v>0.05</v>
      </c>
      <c r="CN22" s="97">
        <v>0.05</v>
      </c>
      <c r="CO22" s="97">
        <v>0.05</v>
      </c>
      <c r="CP22" s="97">
        <v>0</v>
      </c>
      <c r="CQ22" s="97">
        <v>0.2</v>
      </c>
      <c r="CR22" s="97">
        <v>0.25</v>
      </c>
      <c r="CS22" s="97">
        <v>0.1</v>
      </c>
      <c r="CT22" s="97">
        <v>0.2</v>
      </c>
      <c r="CU22" s="97">
        <v>0</v>
      </c>
      <c r="CV22" s="97">
        <v>1</v>
      </c>
    </row>
    <row r="23" spans="1:100" x14ac:dyDescent="0.2">
      <c r="A23" s="95">
        <v>0</v>
      </c>
      <c r="B23" s="95">
        <v>0</v>
      </c>
      <c r="C23" s="95" t="s">
        <v>165</v>
      </c>
      <c r="D23" s="95">
        <v>0</v>
      </c>
      <c r="E23" s="95" t="s">
        <v>165</v>
      </c>
      <c r="F23" s="95">
        <v>0</v>
      </c>
      <c r="G23" s="95">
        <v>5</v>
      </c>
      <c r="H23" s="95">
        <v>0</v>
      </c>
      <c r="I23" s="95">
        <v>0</v>
      </c>
      <c r="J23" s="95">
        <v>0</v>
      </c>
      <c r="K23" s="96">
        <v>44484</v>
      </c>
      <c r="L23" s="95">
        <v>0</v>
      </c>
      <c r="M23" s="95">
        <v>0</v>
      </c>
      <c r="N23" s="95">
        <v>0</v>
      </c>
      <c r="O23" s="95">
        <v>0</v>
      </c>
      <c r="P23" s="95">
        <v>0</v>
      </c>
      <c r="Q23" s="95">
        <v>0</v>
      </c>
      <c r="R23" s="95">
        <v>0</v>
      </c>
      <c r="S23" s="95" t="e">
        <v>#REF!</v>
      </c>
      <c r="T23" s="95" t="e">
        <v>#REF!</v>
      </c>
      <c r="U23" s="95" t="s">
        <v>166</v>
      </c>
      <c r="V23" s="95" t="s">
        <v>166</v>
      </c>
      <c r="W23" s="95" t="s">
        <v>166</v>
      </c>
      <c r="X23" s="95" t="s">
        <v>166</v>
      </c>
      <c r="Y23" s="95" t="s">
        <v>166</v>
      </c>
      <c r="Z23" s="95" t="s">
        <v>166</v>
      </c>
      <c r="AA23" s="95" t="s">
        <v>166</v>
      </c>
      <c r="AB23" s="95" t="s">
        <v>166</v>
      </c>
      <c r="AC23" s="95" t="s">
        <v>166</v>
      </c>
      <c r="AD23" s="95" t="s">
        <v>166</v>
      </c>
      <c r="AE23" s="95" t="s">
        <v>166</v>
      </c>
      <c r="AF23" s="95" t="s">
        <v>166</v>
      </c>
      <c r="AG23" s="95">
        <v>0</v>
      </c>
      <c r="AH23" s="95">
        <v>0</v>
      </c>
      <c r="AI23" s="95">
        <v>0</v>
      </c>
      <c r="AJ23" s="95">
        <v>0</v>
      </c>
      <c r="AK23" s="95">
        <v>0</v>
      </c>
      <c r="AL23" s="95">
        <v>0</v>
      </c>
      <c r="AM23" s="95">
        <v>0</v>
      </c>
      <c r="AN23" s="95">
        <v>0</v>
      </c>
      <c r="AO23" s="95">
        <v>0</v>
      </c>
      <c r="AP23" s="95">
        <v>0</v>
      </c>
      <c r="AQ23" s="95">
        <v>0</v>
      </c>
      <c r="AR23" s="95">
        <v>0</v>
      </c>
      <c r="AS23" s="95">
        <v>0</v>
      </c>
      <c r="AT23" s="95">
        <v>0</v>
      </c>
      <c r="AU23" s="95">
        <v>0</v>
      </c>
      <c r="AV23" s="95">
        <v>0</v>
      </c>
      <c r="AW23" s="95">
        <v>0</v>
      </c>
      <c r="AX23" s="95">
        <v>0</v>
      </c>
      <c r="AY23" s="95">
        <v>0</v>
      </c>
      <c r="AZ23" s="95">
        <v>0</v>
      </c>
      <c r="BA23" s="95">
        <v>0</v>
      </c>
      <c r="BB23" s="95">
        <v>0</v>
      </c>
      <c r="BC23" s="95">
        <v>0</v>
      </c>
      <c r="BD23" s="95">
        <v>0</v>
      </c>
      <c r="BE23" s="95">
        <v>0</v>
      </c>
      <c r="BF23" s="95">
        <v>0</v>
      </c>
      <c r="BG23" s="95">
        <v>0</v>
      </c>
      <c r="BH23" s="95">
        <v>0</v>
      </c>
      <c r="BI23" s="95">
        <v>0</v>
      </c>
      <c r="BJ23" s="95">
        <v>0</v>
      </c>
      <c r="BK23" s="95">
        <v>0</v>
      </c>
      <c r="BL23" s="95">
        <v>0</v>
      </c>
      <c r="BM23" s="95">
        <v>0</v>
      </c>
      <c r="BN23" s="95">
        <v>0</v>
      </c>
      <c r="BO23" s="95">
        <v>0</v>
      </c>
      <c r="BP23" s="95">
        <v>0</v>
      </c>
      <c r="BQ23" s="95" t="s">
        <v>187</v>
      </c>
      <c r="BR23" s="95" t="s">
        <v>188</v>
      </c>
      <c r="BS23" s="95" t="s">
        <v>189</v>
      </c>
      <c r="BT23" s="95">
        <v>0</v>
      </c>
      <c r="BU23" s="95">
        <v>0</v>
      </c>
      <c r="BV23" s="95">
        <v>0</v>
      </c>
      <c r="BW23" s="95">
        <v>0</v>
      </c>
      <c r="BX23" s="95">
        <v>0</v>
      </c>
      <c r="BY23" s="95">
        <v>0</v>
      </c>
      <c r="BZ23" s="95">
        <v>0</v>
      </c>
      <c r="CA23" s="95">
        <v>0</v>
      </c>
      <c r="CB23" s="95">
        <v>0</v>
      </c>
      <c r="CC23" s="95">
        <v>0</v>
      </c>
      <c r="CD23" s="95">
        <v>0</v>
      </c>
      <c r="CE23" s="95">
        <v>0</v>
      </c>
      <c r="CF23" s="95">
        <v>0</v>
      </c>
      <c r="CG23" s="97">
        <v>0.1</v>
      </c>
      <c r="CH23" s="97">
        <v>0.1</v>
      </c>
      <c r="CI23" s="97">
        <v>0.1</v>
      </c>
      <c r="CJ23" s="97">
        <v>0.1</v>
      </c>
      <c r="CK23" s="97">
        <v>0.05</v>
      </c>
      <c r="CL23" s="97">
        <v>0.05</v>
      </c>
      <c r="CM23" s="97">
        <v>0.05</v>
      </c>
      <c r="CN23" s="97">
        <v>0.05</v>
      </c>
      <c r="CO23" s="97">
        <v>0.05</v>
      </c>
      <c r="CP23" s="97">
        <v>0</v>
      </c>
      <c r="CQ23" s="97">
        <v>0.2</v>
      </c>
      <c r="CR23" s="97">
        <v>0.25</v>
      </c>
      <c r="CS23" s="97">
        <v>0.1</v>
      </c>
      <c r="CT23" s="97">
        <v>0.2</v>
      </c>
      <c r="CU23" s="97">
        <v>0</v>
      </c>
      <c r="CV23" s="97">
        <v>1</v>
      </c>
    </row>
    <row r="24" spans="1:100" x14ac:dyDescent="0.2">
      <c r="A24" s="95">
        <v>0</v>
      </c>
      <c r="B24" s="95">
        <v>0</v>
      </c>
      <c r="C24" s="95" t="s">
        <v>165</v>
      </c>
      <c r="D24" s="95">
        <v>0</v>
      </c>
      <c r="E24" s="95" t="s">
        <v>165</v>
      </c>
      <c r="F24" s="95">
        <v>0</v>
      </c>
      <c r="G24" s="95">
        <v>5</v>
      </c>
      <c r="H24" s="95">
        <v>0</v>
      </c>
      <c r="I24" s="95">
        <v>0</v>
      </c>
      <c r="J24" s="95">
        <v>0</v>
      </c>
      <c r="K24" s="96">
        <v>44484</v>
      </c>
      <c r="L24" s="95">
        <v>0</v>
      </c>
      <c r="M24" s="95">
        <v>0</v>
      </c>
      <c r="N24" s="95">
        <v>0</v>
      </c>
      <c r="O24" s="95">
        <v>0</v>
      </c>
      <c r="P24" s="95">
        <v>0</v>
      </c>
      <c r="Q24" s="95">
        <v>0</v>
      </c>
      <c r="R24" s="95">
        <v>0</v>
      </c>
      <c r="S24" s="95" t="e">
        <v>#REF!</v>
      </c>
      <c r="T24" s="95" t="e">
        <v>#REF!</v>
      </c>
      <c r="U24" s="95" t="s">
        <v>166</v>
      </c>
      <c r="V24" s="95" t="s">
        <v>166</v>
      </c>
      <c r="W24" s="95" t="s">
        <v>166</v>
      </c>
      <c r="X24" s="95" t="s">
        <v>166</v>
      </c>
      <c r="Y24" s="95" t="s">
        <v>166</v>
      </c>
      <c r="Z24" s="95" t="s">
        <v>166</v>
      </c>
      <c r="AA24" s="95" t="s">
        <v>166</v>
      </c>
      <c r="AB24" s="95" t="s">
        <v>166</v>
      </c>
      <c r="AC24" s="95" t="s">
        <v>166</v>
      </c>
      <c r="AD24" s="95" t="s">
        <v>166</v>
      </c>
      <c r="AE24" s="95" t="s">
        <v>166</v>
      </c>
      <c r="AF24" s="95" t="s">
        <v>166</v>
      </c>
      <c r="AG24" s="95">
        <v>0</v>
      </c>
      <c r="AH24" s="95">
        <v>0</v>
      </c>
      <c r="AI24" s="95">
        <v>0</v>
      </c>
      <c r="AJ24" s="95">
        <v>0</v>
      </c>
      <c r="AK24" s="95">
        <v>0</v>
      </c>
      <c r="AL24" s="95">
        <v>0</v>
      </c>
      <c r="AM24" s="95">
        <v>0</v>
      </c>
      <c r="AN24" s="95">
        <v>0</v>
      </c>
      <c r="AO24" s="95">
        <v>0</v>
      </c>
      <c r="AP24" s="95">
        <v>0</v>
      </c>
      <c r="AQ24" s="95">
        <v>0</v>
      </c>
      <c r="AR24" s="95">
        <v>0</v>
      </c>
      <c r="AS24" s="95">
        <v>0</v>
      </c>
      <c r="AT24" s="95">
        <v>0</v>
      </c>
      <c r="AU24" s="95">
        <v>0</v>
      </c>
      <c r="AV24" s="95">
        <v>0</v>
      </c>
      <c r="AW24" s="95">
        <v>0</v>
      </c>
      <c r="AX24" s="95">
        <v>0</v>
      </c>
      <c r="AY24" s="95">
        <v>0</v>
      </c>
      <c r="AZ24" s="95">
        <v>0</v>
      </c>
      <c r="BA24" s="95">
        <v>0</v>
      </c>
      <c r="BB24" s="95">
        <v>0</v>
      </c>
      <c r="BC24" s="95">
        <v>0</v>
      </c>
      <c r="BD24" s="95">
        <v>0</v>
      </c>
      <c r="BE24" s="95">
        <v>0</v>
      </c>
      <c r="BF24" s="95">
        <v>0</v>
      </c>
      <c r="BG24" s="95">
        <v>0</v>
      </c>
      <c r="BH24" s="95">
        <v>0</v>
      </c>
      <c r="BI24" s="95">
        <v>0</v>
      </c>
      <c r="BJ24" s="95">
        <v>0</v>
      </c>
      <c r="BK24" s="95">
        <v>0</v>
      </c>
      <c r="BL24" s="95">
        <v>0</v>
      </c>
      <c r="BM24" s="95">
        <v>0</v>
      </c>
      <c r="BN24" s="95">
        <v>0</v>
      </c>
      <c r="BO24" s="95">
        <v>0</v>
      </c>
      <c r="BP24" s="95">
        <v>0</v>
      </c>
      <c r="BQ24" s="95" t="s">
        <v>187</v>
      </c>
      <c r="BR24" s="95" t="s">
        <v>188</v>
      </c>
      <c r="BS24" s="95" t="s">
        <v>189</v>
      </c>
      <c r="BT24" s="95">
        <v>0</v>
      </c>
      <c r="BU24" s="95">
        <v>0</v>
      </c>
      <c r="BV24" s="95">
        <v>0</v>
      </c>
      <c r="BW24" s="95">
        <v>0</v>
      </c>
      <c r="BX24" s="95">
        <v>0</v>
      </c>
      <c r="BY24" s="95">
        <v>0</v>
      </c>
      <c r="BZ24" s="95">
        <v>0</v>
      </c>
      <c r="CA24" s="95">
        <v>0</v>
      </c>
      <c r="CB24" s="95">
        <v>0</v>
      </c>
      <c r="CC24" s="95">
        <v>0</v>
      </c>
      <c r="CD24" s="95">
        <v>0</v>
      </c>
      <c r="CE24" s="95">
        <v>0</v>
      </c>
      <c r="CF24" s="95">
        <v>0</v>
      </c>
      <c r="CG24" s="97">
        <v>0.1</v>
      </c>
      <c r="CH24" s="97">
        <v>0.1</v>
      </c>
      <c r="CI24" s="97">
        <v>0.1</v>
      </c>
      <c r="CJ24" s="97">
        <v>0.1</v>
      </c>
      <c r="CK24" s="97">
        <v>0.05</v>
      </c>
      <c r="CL24" s="97">
        <v>0.05</v>
      </c>
      <c r="CM24" s="97">
        <v>0.05</v>
      </c>
      <c r="CN24" s="97">
        <v>0.05</v>
      </c>
      <c r="CO24" s="97">
        <v>0.05</v>
      </c>
      <c r="CP24" s="97">
        <v>0</v>
      </c>
      <c r="CQ24" s="97">
        <v>0.2</v>
      </c>
      <c r="CR24" s="97">
        <v>0.25</v>
      </c>
      <c r="CS24" s="97">
        <v>0.1</v>
      </c>
      <c r="CT24" s="97">
        <v>0.2</v>
      </c>
      <c r="CU24" s="97">
        <v>0</v>
      </c>
      <c r="CV24" s="97">
        <v>1</v>
      </c>
    </row>
    <row r="25" spans="1:100" x14ac:dyDescent="0.2">
      <c r="A25" s="95">
        <v>0</v>
      </c>
      <c r="B25" s="95" t="s">
        <v>183</v>
      </c>
      <c r="C25" s="95" t="s">
        <v>179</v>
      </c>
      <c r="D25" s="95" t="s">
        <v>180</v>
      </c>
      <c r="E25" s="95" t="s">
        <v>181</v>
      </c>
      <c r="F25" s="95">
        <v>0</v>
      </c>
      <c r="G25" s="95">
        <v>4.333333333333333</v>
      </c>
      <c r="H25" s="95">
        <v>0</v>
      </c>
      <c r="I25" s="95" t="s">
        <v>190</v>
      </c>
      <c r="J25" s="95">
        <v>0</v>
      </c>
      <c r="K25" s="96">
        <v>44484</v>
      </c>
      <c r="L25" s="95">
        <v>0</v>
      </c>
      <c r="M25" s="95">
        <v>0</v>
      </c>
      <c r="N25" s="95">
        <v>0</v>
      </c>
      <c r="O25" s="95">
        <v>0</v>
      </c>
      <c r="P25" s="95">
        <v>0</v>
      </c>
      <c r="Q25" s="95">
        <v>0</v>
      </c>
      <c r="R25" s="95">
        <v>0</v>
      </c>
      <c r="S25" s="95" t="e">
        <v>#REF!</v>
      </c>
      <c r="T25" s="95" t="e">
        <v>#REF!</v>
      </c>
      <c r="U25" s="95" t="s">
        <v>167</v>
      </c>
      <c r="V25" s="95" t="s">
        <v>166</v>
      </c>
      <c r="W25" s="95" t="s">
        <v>166</v>
      </c>
      <c r="X25" s="95" t="s">
        <v>166</v>
      </c>
      <c r="Y25" s="95" t="s">
        <v>166</v>
      </c>
      <c r="Z25" s="95" t="s">
        <v>166</v>
      </c>
      <c r="AA25" s="95" t="s">
        <v>166</v>
      </c>
      <c r="AB25" s="95" t="s">
        <v>166</v>
      </c>
      <c r="AC25" s="95" t="s">
        <v>167</v>
      </c>
      <c r="AD25" s="95" t="s">
        <v>167</v>
      </c>
      <c r="AE25" s="95" t="s">
        <v>166</v>
      </c>
      <c r="AF25" s="95" t="s">
        <v>166</v>
      </c>
      <c r="AG25" s="95">
        <v>0</v>
      </c>
      <c r="AH25" s="95">
        <v>0</v>
      </c>
      <c r="AI25" s="95">
        <v>0</v>
      </c>
      <c r="AJ25" s="95">
        <v>0</v>
      </c>
      <c r="AK25" s="95" t="b">
        <v>1</v>
      </c>
      <c r="AL25" s="95" t="b">
        <v>1</v>
      </c>
      <c r="AM25" s="95" t="b">
        <v>1</v>
      </c>
      <c r="AN25" s="95" t="b">
        <v>1</v>
      </c>
      <c r="AO25" s="95" t="b">
        <v>1</v>
      </c>
      <c r="AP25" s="95">
        <v>0</v>
      </c>
      <c r="AQ25" s="95">
        <v>0</v>
      </c>
      <c r="AR25" s="95">
        <v>0</v>
      </c>
      <c r="AS25" s="95">
        <v>0</v>
      </c>
      <c r="AT25" s="95">
        <v>0</v>
      </c>
      <c r="AU25" s="95">
        <v>0</v>
      </c>
      <c r="AV25" s="95">
        <v>0</v>
      </c>
      <c r="AW25" s="95">
        <v>0</v>
      </c>
      <c r="AX25" s="95">
        <v>0</v>
      </c>
      <c r="AY25" s="95">
        <v>0</v>
      </c>
      <c r="AZ25" s="95">
        <v>0</v>
      </c>
      <c r="BA25" s="95">
        <v>0</v>
      </c>
      <c r="BB25" s="95">
        <v>0</v>
      </c>
      <c r="BC25" s="95">
        <v>0</v>
      </c>
      <c r="BD25" s="95">
        <v>0</v>
      </c>
      <c r="BE25" s="95">
        <v>0</v>
      </c>
      <c r="BF25" s="95">
        <v>0</v>
      </c>
      <c r="BG25" s="95">
        <v>0</v>
      </c>
      <c r="BH25" s="95">
        <v>0</v>
      </c>
      <c r="BI25" s="95">
        <v>0</v>
      </c>
      <c r="BJ25" s="95">
        <v>0</v>
      </c>
      <c r="BK25" s="95">
        <v>0</v>
      </c>
      <c r="BL25" s="95" t="b">
        <v>1</v>
      </c>
      <c r="BM25" s="95" t="b">
        <v>1</v>
      </c>
      <c r="BN25" s="95">
        <v>0</v>
      </c>
      <c r="BO25" s="95">
        <v>0</v>
      </c>
      <c r="BP25" s="95">
        <v>0</v>
      </c>
      <c r="BQ25" s="95">
        <v>0</v>
      </c>
      <c r="BR25" s="95">
        <v>0</v>
      </c>
      <c r="BS25" s="95" t="s">
        <v>190</v>
      </c>
      <c r="BT25" s="95">
        <v>0</v>
      </c>
      <c r="BU25" s="95">
        <v>0</v>
      </c>
      <c r="BV25" s="95">
        <v>0</v>
      </c>
      <c r="BW25" s="95">
        <v>0</v>
      </c>
      <c r="BX25" s="95">
        <v>0</v>
      </c>
      <c r="BY25" s="95">
        <v>0</v>
      </c>
      <c r="BZ25" s="95">
        <v>0</v>
      </c>
      <c r="CA25" s="95">
        <v>0</v>
      </c>
      <c r="CB25" s="95">
        <v>0</v>
      </c>
      <c r="CC25" s="95">
        <v>0</v>
      </c>
      <c r="CD25" s="95">
        <v>0</v>
      </c>
      <c r="CE25" s="95">
        <v>0</v>
      </c>
      <c r="CF25" s="95">
        <v>0</v>
      </c>
      <c r="CG25" s="97">
        <v>0.1</v>
      </c>
      <c r="CH25" s="97">
        <v>0.05</v>
      </c>
      <c r="CI25" s="97">
        <v>0</v>
      </c>
      <c r="CJ25" s="97">
        <v>0.1</v>
      </c>
      <c r="CK25" s="97">
        <v>0.05</v>
      </c>
      <c r="CL25" s="97">
        <v>0.05</v>
      </c>
      <c r="CM25" s="97">
        <v>0.05</v>
      </c>
      <c r="CN25" s="97">
        <v>0.05</v>
      </c>
      <c r="CO25" s="97">
        <v>0.05</v>
      </c>
      <c r="CP25" s="97">
        <v>0</v>
      </c>
      <c r="CQ25" s="97">
        <v>0.15000000000000002</v>
      </c>
      <c r="CR25" s="97">
        <v>0.15000000000000002</v>
      </c>
      <c r="CS25" s="97">
        <v>0.1</v>
      </c>
      <c r="CT25" s="97">
        <v>0.1</v>
      </c>
      <c r="CU25" s="97">
        <v>0</v>
      </c>
      <c r="CV25" s="97">
        <v>0.75</v>
      </c>
    </row>
    <row r="26" spans="1:100" x14ac:dyDescent="0.2">
      <c r="A26" s="95">
        <v>0</v>
      </c>
      <c r="B26" s="95">
        <v>0</v>
      </c>
      <c r="C26" s="95" t="s">
        <v>168</v>
      </c>
      <c r="D26" s="95" t="s">
        <v>184</v>
      </c>
      <c r="E26" s="95" t="s">
        <v>170</v>
      </c>
      <c r="F26" s="95">
        <v>0</v>
      </c>
      <c r="G26" s="95" t="e">
        <v>#DIV/0!</v>
      </c>
      <c r="H26" s="95">
        <v>0</v>
      </c>
      <c r="I26" s="95" t="s">
        <v>191</v>
      </c>
      <c r="J26" s="95">
        <v>0</v>
      </c>
      <c r="K26" s="96">
        <v>44484</v>
      </c>
      <c r="L26" s="95" t="s">
        <v>192</v>
      </c>
      <c r="M26" s="95">
        <v>0</v>
      </c>
      <c r="N26" s="95">
        <v>0</v>
      </c>
      <c r="O26" s="95">
        <v>0</v>
      </c>
      <c r="P26" s="95">
        <v>0</v>
      </c>
      <c r="Q26" s="95">
        <v>0</v>
      </c>
      <c r="R26" s="95">
        <v>0</v>
      </c>
      <c r="S26" s="95" t="e">
        <v>#REF!</v>
      </c>
      <c r="T26" s="95" t="e">
        <v>#REF!</v>
      </c>
      <c r="U26" s="95" t="s">
        <v>166</v>
      </c>
      <c r="V26" s="95" t="s">
        <v>166</v>
      </c>
      <c r="W26" s="95" t="s">
        <v>166</v>
      </c>
      <c r="X26" s="95" t="s">
        <v>166</v>
      </c>
      <c r="Y26" s="95" t="s">
        <v>166</v>
      </c>
      <c r="Z26" s="95" t="s">
        <v>166</v>
      </c>
      <c r="AA26" s="95" t="s">
        <v>166</v>
      </c>
      <c r="AB26" s="95" t="s">
        <v>166</v>
      </c>
      <c r="AC26" s="95" t="s">
        <v>166</v>
      </c>
      <c r="AD26" s="95" t="s">
        <v>166</v>
      </c>
      <c r="AE26" s="95" t="s">
        <v>166</v>
      </c>
      <c r="AF26" s="95" t="s">
        <v>166</v>
      </c>
      <c r="AG26" s="95">
        <v>0</v>
      </c>
      <c r="AH26" s="95">
        <v>0</v>
      </c>
      <c r="AI26" s="95">
        <v>0</v>
      </c>
      <c r="AJ26" s="95" t="b">
        <v>1</v>
      </c>
      <c r="AK26" s="95" t="b">
        <v>1</v>
      </c>
      <c r="AL26" s="95">
        <v>0</v>
      </c>
      <c r="AM26" s="95">
        <v>0</v>
      </c>
      <c r="AN26" s="95">
        <v>0</v>
      </c>
      <c r="AO26" s="95">
        <v>0</v>
      </c>
      <c r="AP26" s="95">
        <v>0</v>
      </c>
      <c r="AQ26" s="95">
        <v>0</v>
      </c>
      <c r="AR26" s="95">
        <v>0</v>
      </c>
      <c r="AS26" s="95">
        <v>0</v>
      </c>
      <c r="AT26" s="95">
        <v>0</v>
      </c>
      <c r="AU26" s="95">
        <v>0</v>
      </c>
      <c r="AV26" s="95">
        <v>0</v>
      </c>
      <c r="AW26" s="95">
        <v>0</v>
      </c>
      <c r="AX26" s="95">
        <v>0</v>
      </c>
      <c r="AY26" s="95">
        <v>0</v>
      </c>
      <c r="AZ26" s="95">
        <v>0</v>
      </c>
      <c r="BA26" s="95">
        <v>0</v>
      </c>
      <c r="BB26" s="95">
        <v>0</v>
      </c>
      <c r="BC26" s="95">
        <v>0</v>
      </c>
      <c r="BD26" s="95">
        <v>0</v>
      </c>
      <c r="BE26" s="95">
        <v>0</v>
      </c>
      <c r="BF26" s="95">
        <v>0</v>
      </c>
      <c r="BG26" s="95">
        <v>0</v>
      </c>
      <c r="BH26" s="95">
        <v>0</v>
      </c>
      <c r="BI26" s="95">
        <v>0</v>
      </c>
      <c r="BJ26" s="95">
        <v>0</v>
      </c>
      <c r="BK26" s="95">
        <v>0</v>
      </c>
      <c r="BL26" s="95">
        <v>0</v>
      </c>
      <c r="BM26" s="95">
        <v>0</v>
      </c>
      <c r="BN26" s="95">
        <v>0</v>
      </c>
      <c r="BO26" s="95">
        <v>0</v>
      </c>
      <c r="BP26" s="95">
        <v>0</v>
      </c>
      <c r="BQ26" s="95">
        <v>0</v>
      </c>
      <c r="BR26" s="95">
        <v>0</v>
      </c>
      <c r="BS26" s="95" t="s">
        <v>190</v>
      </c>
      <c r="BT26" s="95">
        <v>0</v>
      </c>
      <c r="BU26" s="95">
        <v>0</v>
      </c>
      <c r="BV26" s="95">
        <v>0</v>
      </c>
      <c r="BW26" s="95">
        <v>0</v>
      </c>
      <c r="BX26" s="95">
        <v>0</v>
      </c>
      <c r="BY26" s="95">
        <v>0</v>
      </c>
      <c r="BZ26" s="95">
        <v>0</v>
      </c>
      <c r="CA26" s="95">
        <v>0</v>
      </c>
      <c r="CB26" s="95">
        <v>0</v>
      </c>
      <c r="CC26" s="95">
        <v>0</v>
      </c>
      <c r="CD26" s="95">
        <v>0</v>
      </c>
      <c r="CE26" s="95">
        <v>0</v>
      </c>
      <c r="CF26" s="95">
        <v>0</v>
      </c>
      <c r="CG26" s="97">
        <v>0.1</v>
      </c>
      <c r="CH26" s="97">
        <v>0.05</v>
      </c>
      <c r="CI26" s="97">
        <v>0.1</v>
      </c>
      <c r="CJ26" s="97">
        <v>0.1</v>
      </c>
      <c r="CK26" s="97">
        <v>0.05</v>
      </c>
      <c r="CL26" s="97">
        <v>0.05</v>
      </c>
      <c r="CM26" s="97">
        <v>0.05</v>
      </c>
      <c r="CN26" s="97">
        <v>0.05</v>
      </c>
      <c r="CO26" s="97">
        <v>0.05</v>
      </c>
      <c r="CP26" s="97">
        <v>0</v>
      </c>
      <c r="CQ26" s="97">
        <v>0.15000000000000002</v>
      </c>
      <c r="CR26" s="97">
        <v>0.25</v>
      </c>
      <c r="CS26" s="97">
        <v>0.1</v>
      </c>
      <c r="CT26" s="97">
        <v>0.2</v>
      </c>
      <c r="CU26" s="97">
        <v>0</v>
      </c>
      <c r="CV26" s="97">
        <v>0.95000000000000007</v>
      </c>
    </row>
    <row r="27" spans="1:100" x14ac:dyDescent="0.2">
      <c r="A27" s="95">
        <v>0</v>
      </c>
      <c r="B27" s="95">
        <v>0</v>
      </c>
      <c r="C27" s="95" t="s">
        <v>165</v>
      </c>
      <c r="D27" s="95">
        <v>0</v>
      </c>
      <c r="E27" s="95" t="s">
        <v>165</v>
      </c>
      <c r="F27" s="95">
        <v>0</v>
      </c>
      <c r="G27" s="95" t="e">
        <v>#DIV/0!</v>
      </c>
      <c r="H27" s="95">
        <v>0</v>
      </c>
      <c r="I27" s="95">
        <v>0</v>
      </c>
      <c r="J27" s="95">
        <v>0</v>
      </c>
      <c r="K27" s="96">
        <v>44484</v>
      </c>
      <c r="L27" s="95">
        <v>0</v>
      </c>
      <c r="M27" s="95">
        <v>0</v>
      </c>
      <c r="N27" s="95">
        <v>0</v>
      </c>
      <c r="O27" s="95">
        <v>0</v>
      </c>
      <c r="P27" s="95">
        <v>0</v>
      </c>
      <c r="Q27" s="95">
        <v>0</v>
      </c>
      <c r="R27" s="95">
        <v>0</v>
      </c>
      <c r="S27" s="95" t="e">
        <v>#REF!</v>
      </c>
      <c r="T27" s="95" t="e">
        <v>#REF!</v>
      </c>
      <c r="U27" s="95" t="s">
        <v>166</v>
      </c>
      <c r="V27" s="95" t="s">
        <v>166</v>
      </c>
      <c r="W27" s="95" t="s">
        <v>166</v>
      </c>
      <c r="X27" s="95" t="s">
        <v>166</v>
      </c>
      <c r="Y27" s="95" t="s">
        <v>166</v>
      </c>
      <c r="Z27" s="95" t="s">
        <v>166</v>
      </c>
      <c r="AA27" s="95" t="s">
        <v>166</v>
      </c>
      <c r="AB27" s="95" t="s">
        <v>166</v>
      </c>
      <c r="AC27" s="95" t="s">
        <v>166</v>
      </c>
      <c r="AD27" s="95" t="s">
        <v>166</v>
      </c>
      <c r="AE27" s="95" t="s">
        <v>166</v>
      </c>
      <c r="AF27" s="95" t="s">
        <v>166</v>
      </c>
      <c r="AG27" s="95">
        <v>0</v>
      </c>
      <c r="AH27" s="95">
        <v>0</v>
      </c>
      <c r="AI27" s="95">
        <v>0</v>
      </c>
      <c r="AJ27" s="95">
        <v>0</v>
      </c>
      <c r="AK27" s="95">
        <v>0</v>
      </c>
      <c r="AL27" s="95">
        <v>0</v>
      </c>
      <c r="AM27" s="95">
        <v>0</v>
      </c>
      <c r="AN27" s="95">
        <v>0</v>
      </c>
      <c r="AO27" s="95">
        <v>0</v>
      </c>
      <c r="AP27" s="95">
        <v>0</v>
      </c>
      <c r="AQ27" s="95">
        <v>0</v>
      </c>
      <c r="AR27" s="95">
        <v>0</v>
      </c>
      <c r="AS27" s="95">
        <v>0</v>
      </c>
      <c r="AT27" s="95">
        <v>0</v>
      </c>
      <c r="AU27" s="95">
        <v>0</v>
      </c>
      <c r="AV27" s="95">
        <v>0</v>
      </c>
      <c r="AW27" s="95">
        <v>0</v>
      </c>
      <c r="AX27" s="95">
        <v>0</v>
      </c>
      <c r="AY27" s="95">
        <v>0</v>
      </c>
      <c r="AZ27" s="95">
        <v>0</v>
      </c>
      <c r="BA27" s="95">
        <v>0</v>
      </c>
      <c r="BB27" s="95">
        <v>0</v>
      </c>
      <c r="BC27" s="95">
        <v>0</v>
      </c>
      <c r="BD27" s="95">
        <v>0</v>
      </c>
      <c r="BE27" s="95">
        <v>0</v>
      </c>
      <c r="BF27" s="95">
        <v>0</v>
      </c>
      <c r="BG27" s="95">
        <v>0</v>
      </c>
      <c r="BH27" s="95">
        <v>0</v>
      </c>
      <c r="BI27" s="95">
        <v>0</v>
      </c>
      <c r="BJ27" s="95">
        <v>0</v>
      </c>
      <c r="BK27" s="95">
        <v>0</v>
      </c>
      <c r="BL27" s="95">
        <v>0</v>
      </c>
      <c r="BM27" s="95">
        <v>0</v>
      </c>
      <c r="BN27" s="95">
        <v>0</v>
      </c>
      <c r="BO27" s="95">
        <v>0</v>
      </c>
      <c r="BP27" s="95" t="s">
        <v>193</v>
      </c>
      <c r="BQ27" s="95" t="s">
        <v>194</v>
      </c>
      <c r="BR27" s="95">
        <v>0</v>
      </c>
      <c r="BS27" s="95">
        <v>0</v>
      </c>
      <c r="BT27" s="95">
        <v>0</v>
      </c>
      <c r="BU27" s="95">
        <v>0</v>
      </c>
      <c r="BV27" s="95">
        <v>0</v>
      </c>
      <c r="BW27" s="95">
        <v>0</v>
      </c>
      <c r="BX27" s="95">
        <v>0</v>
      </c>
      <c r="BY27" s="95">
        <v>0</v>
      </c>
      <c r="BZ27" s="95">
        <v>0</v>
      </c>
      <c r="CA27" s="95">
        <v>0</v>
      </c>
      <c r="CB27" s="95">
        <v>0</v>
      </c>
      <c r="CC27" s="95">
        <v>0</v>
      </c>
      <c r="CD27" s="95">
        <v>0</v>
      </c>
      <c r="CE27" s="95">
        <v>0</v>
      </c>
      <c r="CF27" s="95">
        <v>0</v>
      </c>
      <c r="CG27" s="97">
        <v>0.1</v>
      </c>
      <c r="CH27" s="97">
        <v>0.1</v>
      </c>
      <c r="CI27" s="97">
        <v>0.1</v>
      </c>
      <c r="CJ27" s="97">
        <v>0.1</v>
      </c>
      <c r="CK27" s="97">
        <v>0.05</v>
      </c>
      <c r="CL27" s="97">
        <v>0.05</v>
      </c>
      <c r="CM27" s="97">
        <v>0.05</v>
      </c>
      <c r="CN27" s="97">
        <v>0.05</v>
      </c>
      <c r="CO27" s="97">
        <v>0.05</v>
      </c>
      <c r="CP27" s="97">
        <v>0</v>
      </c>
      <c r="CQ27" s="97">
        <v>0.2</v>
      </c>
      <c r="CR27" s="97">
        <v>0.25</v>
      </c>
      <c r="CS27" s="97">
        <v>0.1</v>
      </c>
      <c r="CT27" s="97">
        <v>0.2</v>
      </c>
      <c r="CU27" s="97">
        <v>0</v>
      </c>
      <c r="CV27" s="97">
        <v>1</v>
      </c>
    </row>
    <row r="28" spans="1:100" x14ac:dyDescent="0.2">
      <c r="A28" s="95">
        <v>0</v>
      </c>
      <c r="B28" s="95">
        <v>0</v>
      </c>
      <c r="C28" s="95" t="s">
        <v>165</v>
      </c>
      <c r="D28" s="95">
        <v>0</v>
      </c>
      <c r="E28" s="95" t="s">
        <v>165</v>
      </c>
      <c r="F28" s="95">
        <v>0</v>
      </c>
      <c r="G28" s="95">
        <v>3.5</v>
      </c>
      <c r="H28" s="95">
        <v>0</v>
      </c>
      <c r="I28" s="95" t="s">
        <v>195</v>
      </c>
      <c r="J28" s="95">
        <v>0</v>
      </c>
      <c r="K28" s="96">
        <v>44484</v>
      </c>
      <c r="L28" s="95">
        <v>0</v>
      </c>
      <c r="M28" s="95">
        <v>0</v>
      </c>
      <c r="N28" s="95">
        <v>0</v>
      </c>
      <c r="O28" s="95">
        <v>0</v>
      </c>
      <c r="P28" s="95">
        <v>0</v>
      </c>
      <c r="Q28" s="95">
        <v>0</v>
      </c>
      <c r="R28" s="95">
        <v>0</v>
      </c>
      <c r="S28" s="95" t="e">
        <v>#REF!</v>
      </c>
      <c r="T28" s="95" t="e">
        <v>#REF!</v>
      </c>
      <c r="U28" s="95" t="s">
        <v>166</v>
      </c>
      <c r="V28" s="95" t="s">
        <v>166</v>
      </c>
      <c r="W28" s="95" t="s">
        <v>166</v>
      </c>
      <c r="X28" s="95" t="s">
        <v>166</v>
      </c>
      <c r="Y28" s="95" t="s">
        <v>166</v>
      </c>
      <c r="Z28" s="95" t="s">
        <v>166</v>
      </c>
      <c r="AA28" s="95" t="s">
        <v>166</v>
      </c>
      <c r="AB28" s="95" t="s">
        <v>166</v>
      </c>
      <c r="AC28" s="95" t="s">
        <v>166</v>
      </c>
      <c r="AD28" s="95" t="s">
        <v>166</v>
      </c>
      <c r="AE28" s="95" t="s">
        <v>166</v>
      </c>
      <c r="AF28" s="95" t="s">
        <v>166</v>
      </c>
      <c r="AG28" s="95">
        <v>0</v>
      </c>
      <c r="AH28" s="95">
        <v>0</v>
      </c>
      <c r="AI28" s="95">
        <v>0</v>
      </c>
      <c r="AJ28" s="95">
        <v>0</v>
      </c>
      <c r="AK28" s="95">
        <v>0</v>
      </c>
      <c r="AL28" s="95">
        <v>0</v>
      </c>
      <c r="AM28" s="95">
        <v>0</v>
      </c>
      <c r="AN28" s="95">
        <v>0</v>
      </c>
      <c r="AO28" s="95">
        <v>0</v>
      </c>
      <c r="AP28" s="95">
        <v>0</v>
      </c>
      <c r="AQ28" s="95">
        <v>0</v>
      </c>
      <c r="AR28" s="95">
        <v>0</v>
      </c>
      <c r="AS28" s="95">
        <v>0</v>
      </c>
      <c r="AT28" s="95">
        <v>0</v>
      </c>
      <c r="AU28" s="95">
        <v>0</v>
      </c>
      <c r="AV28" s="95">
        <v>0</v>
      </c>
      <c r="AW28" s="95">
        <v>0</v>
      </c>
      <c r="AX28" s="95">
        <v>0</v>
      </c>
      <c r="AY28" s="95">
        <v>0</v>
      </c>
      <c r="AZ28" s="95">
        <v>0</v>
      </c>
      <c r="BA28" s="95">
        <v>0</v>
      </c>
      <c r="BB28" s="95">
        <v>0</v>
      </c>
      <c r="BC28" s="95">
        <v>0</v>
      </c>
      <c r="BD28" s="95">
        <v>0</v>
      </c>
      <c r="BE28" s="95">
        <v>0</v>
      </c>
      <c r="BF28" s="95">
        <v>0</v>
      </c>
      <c r="BG28" s="95">
        <v>0</v>
      </c>
      <c r="BH28" s="95">
        <v>0</v>
      </c>
      <c r="BI28" s="95">
        <v>0</v>
      </c>
      <c r="BJ28" s="95">
        <v>0</v>
      </c>
      <c r="BK28" s="95">
        <v>0</v>
      </c>
      <c r="BL28" s="95">
        <v>0</v>
      </c>
      <c r="BM28" s="95">
        <v>0</v>
      </c>
      <c r="BN28" s="95">
        <v>0</v>
      </c>
      <c r="BO28" s="95">
        <v>0</v>
      </c>
      <c r="BP28" s="95" t="s">
        <v>193</v>
      </c>
      <c r="BQ28" s="95" t="s">
        <v>194</v>
      </c>
      <c r="BR28" s="95" t="s">
        <v>195</v>
      </c>
      <c r="BS28" s="95" t="s">
        <v>196</v>
      </c>
      <c r="BT28" s="95">
        <v>0</v>
      </c>
      <c r="BU28" s="95">
        <v>0</v>
      </c>
      <c r="BV28" s="95">
        <v>0</v>
      </c>
      <c r="BW28" s="95">
        <v>0</v>
      </c>
      <c r="BX28" s="95">
        <v>0</v>
      </c>
      <c r="BY28" s="95">
        <v>0</v>
      </c>
      <c r="BZ28" s="95">
        <v>0</v>
      </c>
      <c r="CA28" s="95">
        <v>0</v>
      </c>
      <c r="CB28" s="95">
        <v>0</v>
      </c>
      <c r="CC28" s="95">
        <v>0</v>
      </c>
      <c r="CD28" s="95">
        <v>0</v>
      </c>
      <c r="CE28" s="95">
        <v>0</v>
      </c>
      <c r="CF28" s="95">
        <v>0</v>
      </c>
      <c r="CG28" s="97">
        <v>0.1</v>
      </c>
      <c r="CH28" s="97">
        <v>0.1</v>
      </c>
      <c r="CI28" s="97">
        <v>0.1</v>
      </c>
      <c r="CJ28" s="97">
        <v>0.1</v>
      </c>
      <c r="CK28" s="97">
        <v>0.05</v>
      </c>
      <c r="CL28" s="97">
        <v>0.05</v>
      </c>
      <c r="CM28" s="97">
        <v>0.05</v>
      </c>
      <c r="CN28" s="97">
        <v>0.05</v>
      </c>
      <c r="CO28" s="97">
        <v>0.05</v>
      </c>
      <c r="CP28" s="97">
        <v>0</v>
      </c>
      <c r="CQ28" s="97">
        <v>0.2</v>
      </c>
      <c r="CR28" s="97">
        <v>0.25</v>
      </c>
      <c r="CS28" s="97">
        <v>0.1</v>
      </c>
      <c r="CT28" s="97">
        <v>0.2</v>
      </c>
      <c r="CU28" s="97">
        <v>0</v>
      </c>
      <c r="CV28" s="97">
        <v>1</v>
      </c>
    </row>
    <row r="29" spans="1:100" x14ac:dyDescent="0.2">
      <c r="A29" s="95">
        <v>0</v>
      </c>
      <c r="B29" s="95">
        <v>0</v>
      </c>
      <c r="C29" s="95" t="s">
        <v>165</v>
      </c>
      <c r="D29" s="95">
        <v>0</v>
      </c>
      <c r="E29" s="95" t="s">
        <v>165</v>
      </c>
      <c r="F29" s="95">
        <v>0</v>
      </c>
      <c r="G29" s="95" t="e">
        <v>#DIV/0!</v>
      </c>
      <c r="H29" s="95">
        <v>0</v>
      </c>
      <c r="I29" s="95">
        <v>0</v>
      </c>
      <c r="J29" s="95">
        <v>0</v>
      </c>
      <c r="K29" s="96">
        <v>44484</v>
      </c>
      <c r="L29" s="95">
        <v>0</v>
      </c>
      <c r="M29" s="95">
        <v>0</v>
      </c>
      <c r="N29" s="95">
        <v>0</v>
      </c>
      <c r="O29" s="95">
        <v>0</v>
      </c>
      <c r="P29" s="95">
        <v>0</v>
      </c>
      <c r="Q29" s="95">
        <v>0</v>
      </c>
      <c r="R29" s="95">
        <v>0</v>
      </c>
      <c r="S29" s="95" t="e">
        <v>#REF!</v>
      </c>
      <c r="T29" s="95" t="e">
        <v>#REF!</v>
      </c>
      <c r="U29" s="95" t="s">
        <v>166</v>
      </c>
      <c r="V29" s="95" t="s">
        <v>166</v>
      </c>
      <c r="W29" s="95" t="s">
        <v>166</v>
      </c>
      <c r="X29" s="95" t="s">
        <v>166</v>
      </c>
      <c r="Y29" s="95" t="s">
        <v>166</v>
      </c>
      <c r="Z29" s="95" t="s">
        <v>166</v>
      </c>
      <c r="AA29" s="95" t="s">
        <v>166</v>
      </c>
      <c r="AB29" s="95" t="s">
        <v>166</v>
      </c>
      <c r="AC29" s="95" t="s">
        <v>166</v>
      </c>
      <c r="AD29" s="95" t="s">
        <v>166</v>
      </c>
      <c r="AE29" s="95" t="s">
        <v>166</v>
      </c>
      <c r="AF29" s="95" t="s">
        <v>166</v>
      </c>
      <c r="AG29" s="95">
        <v>0</v>
      </c>
      <c r="AH29" s="95">
        <v>0</v>
      </c>
      <c r="AI29" s="95">
        <v>0</v>
      </c>
      <c r="AJ29" s="95">
        <v>0</v>
      </c>
      <c r="AK29" s="95">
        <v>0</v>
      </c>
      <c r="AL29" s="95">
        <v>0</v>
      </c>
      <c r="AM29" s="95">
        <v>0</v>
      </c>
      <c r="AN29" s="95">
        <v>0</v>
      </c>
      <c r="AO29" s="95">
        <v>0</v>
      </c>
      <c r="AP29" s="95">
        <v>0</v>
      </c>
      <c r="AQ29" s="95">
        <v>0</v>
      </c>
      <c r="AR29" s="95">
        <v>0</v>
      </c>
      <c r="AS29" s="95">
        <v>0</v>
      </c>
      <c r="AT29" s="95">
        <v>0</v>
      </c>
      <c r="AU29" s="95">
        <v>0</v>
      </c>
      <c r="AV29" s="95">
        <v>0</v>
      </c>
      <c r="AW29" s="95">
        <v>0</v>
      </c>
      <c r="AX29" s="95">
        <v>0</v>
      </c>
      <c r="AY29" s="95">
        <v>0</v>
      </c>
      <c r="AZ29" s="95">
        <v>0</v>
      </c>
      <c r="BA29" s="95">
        <v>0</v>
      </c>
      <c r="BB29" s="95">
        <v>0</v>
      </c>
      <c r="BC29" s="95">
        <v>0</v>
      </c>
      <c r="BD29" s="95">
        <v>0</v>
      </c>
      <c r="BE29" s="95">
        <v>0</v>
      </c>
      <c r="BF29" s="95">
        <v>0</v>
      </c>
      <c r="BG29" s="95">
        <v>0</v>
      </c>
      <c r="BH29" s="95">
        <v>0</v>
      </c>
      <c r="BI29" s="95">
        <v>0</v>
      </c>
      <c r="BJ29" s="95">
        <v>0</v>
      </c>
      <c r="BK29" s="95">
        <v>0</v>
      </c>
      <c r="BL29" s="95">
        <v>0</v>
      </c>
      <c r="BM29" s="95">
        <v>0</v>
      </c>
      <c r="BN29" s="95">
        <v>0</v>
      </c>
      <c r="BO29" s="95">
        <v>0</v>
      </c>
      <c r="BP29" s="95">
        <v>0</v>
      </c>
      <c r="BQ29" s="95">
        <v>0</v>
      </c>
      <c r="BR29" s="95">
        <v>0</v>
      </c>
      <c r="BS29" s="95" t="s">
        <v>197</v>
      </c>
      <c r="BT29" s="95" t="s">
        <v>198</v>
      </c>
      <c r="BU29" s="95" t="s">
        <v>187</v>
      </c>
      <c r="BV29" s="95">
        <v>0</v>
      </c>
      <c r="BW29" s="95">
        <v>0</v>
      </c>
      <c r="BX29" s="95">
        <v>0</v>
      </c>
      <c r="BY29" s="95">
        <v>0</v>
      </c>
      <c r="BZ29" s="95">
        <v>0</v>
      </c>
      <c r="CA29" s="95">
        <v>0</v>
      </c>
      <c r="CB29" s="95">
        <v>0</v>
      </c>
      <c r="CC29" s="95">
        <v>0</v>
      </c>
      <c r="CD29" s="95">
        <v>0</v>
      </c>
      <c r="CE29" s="95">
        <v>0</v>
      </c>
      <c r="CF29" s="95">
        <v>0</v>
      </c>
      <c r="CG29" s="97">
        <v>0.1</v>
      </c>
      <c r="CH29" s="97">
        <v>0.1</v>
      </c>
      <c r="CI29" s="97">
        <v>0.1</v>
      </c>
      <c r="CJ29" s="97">
        <v>0.1</v>
      </c>
      <c r="CK29" s="97">
        <v>0.05</v>
      </c>
      <c r="CL29" s="97">
        <v>0.05</v>
      </c>
      <c r="CM29" s="97">
        <v>0.05</v>
      </c>
      <c r="CN29" s="97">
        <v>0.05</v>
      </c>
      <c r="CO29" s="97">
        <v>0.05</v>
      </c>
      <c r="CP29" s="97">
        <v>0</v>
      </c>
      <c r="CQ29" s="97">
        <v>0.2</v>
      </c>
      <c r="CR29" s="97">
        <v>0.25</v>
      </c>
      <c r="CS29" s="97">
        <v>0.1</v>
      </c>
      <c r="CT29" s="97">
        <v>0.2</v>
      </c>
      <c r="CU29" s="97">
        <v>0</v>
      </c>
      <c r="CV29" s="97">
        <v>1</v>
      </c>
    </row>
    <row r="30" spans="1:100" x14ac:dyDescent="0.2">
      <c r="A30" s="95">
        <v>0</v>
      </c>
      <c r="B30" s="95">
        <v>0</v>
      </c>
      <c r="C30" s="95" t="s">
        <v>165</v>
      </c>
      <c r="D30" s="95">
        <v>0</v>
      </c>
      <c r="E30" s="95" t="s">
        <v>165</v>
      </c>
      <c r="F30" s="95">
        <v>0</v>
      </c>
      <c r="G30" s="95" t="e">
        <v>#DIV/0!</v>
      </c>
      <c r="H30" s="95">
        <v>0</v>
      </c>
      <c r="I30" s="95">
        <v>0</v>
      </c>
      <c r="J30" s="95">
        <v>0</v>
      </c>
      <c r="K30" s="96">
        <v>44484</v>
      </c>
      <c r="L30" s="95">
        <v>0</v>
      </c>
      <c r="M30" s="95">
        <v>0</v>
      </c>
      <c r="N30" s="95">
        <v>0</v>
      </c>
      <c r="O30" s="95">
        <v>0</v>
      </c>
      <c r="P30" s="95">
        <v>0</v>
      </c>
      <c r="Q30" s="95">
        <v>0</v>
      </c>
      <c r="R30" s="95">
        <v>0</v>
      </c>
      <c r="S30" s="95" t="e">
        <v>#REF!</v>
      </c>
      <c r="T30" s="95" t="e">
        <v>#REF!</v>
      </c>
      <c r="U30" s="95" t="s">
        <v>166</v>
      </c>
      <c r="V30" s="95" t="s">
        <v>166</v>
      </c>
      <c r="W30" s="95" t="s">
        <v>166</v>
      </c>
      <c r="X30" s="95" t="s">
        <v>166</v>
      </c>
      <c r="Y30" s="95" t="s">
        <v>166</v>
      </c>
      <c r="Z30" s="95" t="s">
        <v>166</v>
      </c>
      <c r="AA30" s="95" t="s">
        <v>166</v>
      </c>
      <c r="AB30" s="95" t="s">
        <v>166</v>
      </c>
      <c r="AC30" s="95" t="s">
        <v>166</v>
      </c>
      <c r="AD30" s="95" t="s">
        <v>166</v>
      </c>
      <c r="AE30" s="95" t="s">
        <v>166</v>
      </c>
      <c r="AF30" s="95" t="s">
        <v>166</v>
      </c>
      <c r="AG30" s="95">
        <v>0</v>
      </c>
      <c r="AH30" s="95">
        <v>0</v>
      </c>
      <c r="AI30" s="95">
        <v>0</v>
      </c>
      <c r="AJ30" s="95">
        <v>0</v>
      </c>
      <c r="AK30" s="95">
        <v>0</v>
      </c>
      <c r="AL30" s="95">
        <v>0</v>
      </c>
      <c r="AM30" s="95">
        <v>0</v>
      </c>
      <c r="AN30" s="95">
        <v>0</v>
      </c>
      <c r="AO30" s="95">
        <v>0</v>
      </c>
      <c r="AP30" s="95">
        <v>0</v>
      </c>
      <c r="AQ30" s="95">
        <v>0</v>
      </c>
      <c r="AR30" s="95">
        <v>0</v>
      </c>
      <c r="AS30" s="95">
        <v>0</v>
      </c>
      <c r="AT30" s="95">
        <v>0</v>
      </c>
      <c r="AU30" s="95">
        <v>0</v>
      </c>
      <c r="AV30" s="95">
        <v>0</v>
      </c>
      <c r="AW30" s="95">
        <v>0</v>
      </c>
      <c r="AX30" s="95">
        <v>0</v>
      </c>
      <c r="AY30" s="95">
        <v>0</v>
      </c>
      <c r="AZ30" s="95">
        <v>0</v>
      </c>
      <c r="BA30" s="95">
        <v>0</v>
      </c>
      <c r="BB30" s="95">
        <v>0</v>
      </c>
      <c r="BC30" s="95">
        <v>0</v>
      </c>
      <c r="BD30" s="95">
        <v>0</v>
      </c>
      <c r="BE30" s="95">
        <v>0</v>
      </c>
      <c r="BF30" s="95">
        <v>0</v>
      </c>
      <c r="BG30" s="95">
        <v>0</v>
      </c>
      <c r="BH30" s="95">
        <v>0</v>
      </c>
      <c r="BI30" s="95">
        <v>0</v>
      </c>
      <c r="BJ30" s="95">
        <v>0</v>
      </c>
      <c r="BK30" s="95">
        <v>0</v>
      </c>
      <c r="BL30" s="95">
        <v>0</v>
      </c>
      <c r="BM30" s="95">
        <v>0</v>
      </c>
      <c r="BN30" s="95">
        <v>0</v>
      </c>
      <c r="BO30" s="95">
        <v>0</v>
      </c>
      <c r="BP30" s="95">
        <v>0</v>
      </c>
      <c r="BQ30" s="95">
        <v>0</v>
      </c>
      <c r="BR30" s="95">
        <v>0</v>
      </c>
      <c r="BS30" s="95" t="s">
        <v>197</v>
      </c>
      <c r="BT30" s="95" t="s">
        <v>198</v>
      </c>
      <c r="BU30" s="95" t="s">
        <v>187</v>
      </c>
      <c r="BV30" s="95">
        <v>0</v>
      </c>
      <c r="BW30" s="95">
        <v>0</v>
      </c>
      <c r="BX30" s="95">
        <v>0</v>
      </c>
      <c r="BY30" s="95">
        <v>0</v>
      </c>
      <c r="BZ30" s="95">
        <v>0</v>
      </c>
      <c r="CA30" s="95">
        <v>0</v>
      </c>
      <c r="CB30" s="95">
        <v>0</v>
      </c>
      <c r="CC30" s="95">
        <v>0</v>
      </c>
      <c r="CD30" s="95">
        <v>0</v>
      </c>
      <c r="CE30" s="95">
        <v>0</v>
      </c>
      <c r="CF30" s="95">
        <v>0</v>
      </c>
      <c r="CG30" s="97">
        <v>0.1</v>
      </c>
      <c r="CH30" s="97">
        <v>0.1</v>
      </c>
      <c r="CI30" s="97">
        <v>0.1</v>
      </c>
      <c r="CJ30" s="97">
        <v>0.1</v>
      </c>
      <c r="CK30" s="97">
        <v>0.05</v>
      </c>
      <c r="CL30" s="97">
        <v>0.05</v>
      </c>
      <c r="CM30" s="97">
        <v>0.05</v>
      </c>
      <c r="CN30" s="97">
        <v>0.05</v>
      </c>
      <c r="CO30" s="97">
        <v>0.05</v>
      </c>
      <c r="CP30" s="97">
        <v>0</v>
      </c>
      <c r="CQ30" s="97">
        <v>0.2</v>
      </c>
      <c r="CR30" s="97">
        <v>0.25</v>
      </c>
      <c r="CS30" s="97">
        <v>0.1</v>
      </c>
      <c r="CT30" s="97">
        <v>0.2</v>
      </c>
      <c r="CU30" s="97">
        <v>0</v>
      </c>
      <c r="CV30" s="97">
        <v>1</v>
      </c>
    </row>
    <row r="31" spans="1:100" x14ac:dyDescent="0.2">
      <c r="A31" s="95">
        <v>0</v>
      </c>
      <c r="B31" s="95">
        <v>0</v>
      </c>
      <c r="C31" s="95" t="s">
        <v>165</v>
      </c>
      <c r="D31" s="95">
        <v>0</v>
      </c>
      <c r="E31" s="95" t="s">
        <v>165</v>
      </c>
      <c r="F31" s="95">
        <v>0</v>
      </c>
      <c r="G31" s="95" t="e">
        <v>#DIV/0!</v>
      </c>
      <c r="H31" s="95">
        <v>0</v>
      </c>
      <c r="I31" s="95">
        <v>0</v>
      </c>
      <c r="J31" s="95">
        <v>0</v>
      </c>
      <c r="K31" s="96">
        <v>44484</v>
      </c>
      <c r="L31" s="95">
        <v>0</v>
      </c>
      <c r="M31" s="95">
        <v>0</v>
      </c>
      <c r="N31" s="95">
        <v>0</v>
      </c>
      <c r="O31" s="95">
        <v>0</v>
      </c>
      <c r="P31" s="95">
        <v>0</v>
      </c>
      <c r="Q31" s="95">
        <v>0</v>
      </c>
      <c r="R31" s="95">
        <v>0</v>
      </c>
      <c r="S31" s="95" t="e">
        <v>#REF!</v>
      </c>
      <c r="T31" s="95" t="e">
        <v>#REF!</v>
      </c>
      <c r="U31" s="95" t="s">
        <v>166</v>
      </c>
      <c r="V31" s="95" t="s">
        <v>166</v>
      </c>
      <c r="W31" s="95" t="s">
        <v>166</v>
      </c>
      <c r="X31" s="95" t="s">
        <v>166</v>
      </c>
      <c r="Y31" s="95" t="s">
        <v>166</v>
      </c>
      <c r="Z31" s="95" t="s">
        <v>166</v>
      </c>
      <c r="AA31" s="95" t="s">
        <v>166</v>
      </c>
      <c r="AB31" s="95" t="s">
        <v>166</v>
      </c>
      <c r="AC31" s="95" t="s">
        <v>166</v>
      </c>
      <c r="AD31" s="95" t="s">
        <v>166</v>
      </c>
      <c r="AE31" s="95" t="s">
        <v>166</v>
      </c>
      <c r="AF31" s="95" t="s">
        <v>166</v>
      </c>
      <c r="AG31" s="95">
        <v>0</v>
      </c>
      <c r="AH31" s="95">
        <v>0</v>
      </c>
      <c r="AI31" s="95">
        <v>0</v>
      </c>
      <c r="AJ31" s="95">
        <v>0</v>
      </c>
      <c r="AK31" s="95">
        <v>0</v>
      </c>
      <c r="AL31" s="95">
        <v>0</v>
      </c>
      <c r="AM31" s="95">
        <v>0</v>
      </c>
      <c r="AN31" s="95">
        <v>0</v>
      </c>
      <c r="AO31" s="95">
        <v>0</v>
      </c>
      <c r="AP31" s="95">
        <v>0</v>
      </c>
      <c r="AQ31" s="95">
        <v>0</v>
      </c>
      <c r="AR31" s="95">
        <v>0</v>
      </c>
      <c r="AS31" s="95">
        <v>0</v>
      </c>
      <c r="AT31" s="95">
        <v>0</v>
      </c>
      <c r="AU31" s="95">
        <v>0</v>
      </c>
      <c r="AV31" s="95">
        <v>0</v>
      </c>
      <c r="AW31" s="95">
        <v>0</v>
      </c>
      <c r="AX31" s="95">
        <v>0</v>
      </c>
      <c r="AY31" s="95">
        <v>0</v>
      </c>
      <c r="AZ31" s="95">
        <v>0</v>
      </c>
      <c r="BA31" s="95">
        <v>0</v>
      </c>
      <c r="BB31" s="95">
        <v>0</v>
      </c>
      <c r="BC31" s="95">
        <v>0</v>
      </c>
      <c r="BD31" s="95">
        <v>0</v>
      </c>
      <c r="BE31" s="95">
        <v>0</v>
      </c>
      <c r="BF31" s="95">
        <v>0</v>
      </c>
      <c r="BG31" s="95">
        <v>0</v>
      </c>
      <c r="BH31" s="95">
        <v>0</v>
      </c>
      <c r="BI31" s="95">
        <v>0</v>
      </c>
      <c r="BJ31" s="95">
        <v>0</v>
      </c>
      <c r="BK31" s="95">
        <v>0</v>
      </c>
      <c r="BL31" s="95">
        <v>0</v>
      </c>
      <c r="BM31" s="95">
        <v>0</v>
      </c>
      <c r="BN31" s="95">
        <v>0</v>
      </c>
      <c r="BO31" s="95">
        <v>0</v>
      </c>
      <c r="BP31" s="95">
        <v>0</v>
      </c>
      <c r="BQ31" s="95">
        <v>0</v>
      </c>
      <c r="BR31" s="95">
        <v>0</v>
      </c>
      <c r="BS31" s="95">
        <v>0</v>
      </c>
      <c r="BT31" s="95">
        <v>0</v>
      </c>
      <c r="BU31" s="95">
        <v>0</v>
      </c>
      <c r="BV31" s="95">
        <v>0</v>
      </c>
      <c r="BW31" s="95">
        <v>0</v>
      </c>
      <c r="BX31" s="95">
        <v>0</v>
      </c>
      <c r="BY31" s="95">
        <v>0</v>
      </c>
      <c r="BZ31" s="95">
        <v>0</v>
      </c>
      <c r="CA31" s="95">
        <v>0</v>
      </c>
      <c r="CB31" s="95">
        <v>0</v>
      </c>
      <c r="CC31" s="95">
        <v>0</v>
      </c>
      <c r="CD31" s="95">
        <v>0</v>
      </c>
      <c r="CE31" s="95">
        <v>0</v>
      </c>
      <c r="CF31" s="95">
        <v>0</v>
      </c>
      <c r="CG31" s="97">
        <v>0.1</v>
      </c>
      <c r="CH31" s="97">
        <v>0.1</v>
      </c>
      <c r="CI31" s="97">
        <v>0.1</v>
      </c>
      <c r="CJ31" s="97">
        <v>0.1</v>
      </c>
      <c r="CK31" s="97">
        <v>0.05</v>
      </c>
      <c r="CL31" s="97">
        <v>0.05</v>
      </c>
      <c r="CM31" s="97">
        <v>0.05</v>
      </c>
      <c r="CN31" s="97">
        <v>0.05</v>
      </c>
      <c r="CO31" s="97">
        <v>0.05</v>
      </c>
      <c r="CP31" s="97">
        <v>0</v>
      </c>
      <c r="CQ31" s="97">
        <v>0.2</v>
      </c>
      <c r="CR31" s="97">
        <v>0.25</v>
      </c>
      <c r="CS31" s="97">
        <v>0.1</v>
      </c>
      <c r="CT31" s="97">
        <v>0.2</v>
      </c>
      <c r="CU31" s="97">
        <v>0</v>
      </c>
      <c r="CV31" s="97">
        <v>1</v>
      </c>
    </row>
    <row r="32" spans="1:100" x14ac:dyDescent="0.2">
      <c r="A32" s="95">
        <v>0</v>
      </c>
      <c r="B32" s="95">
        <v>0</v>
      </c>
      <c r="C32" s="95" t="s">
        <v>165</v>
      </c>
      <c r="D32" s="95" t="s">
        <v>165</v>
      </c>
      <c r="E32" s="95" t="s">
        <v>165</v>
      </c>
      <c r="F32" s="95">
        <v>0</v>
      </c>
      <c r="G32" s="95" t="e">
        <v>#DIV/0!</v>
      </c>
      <c r="H32" s="95">
        <v>0</v>
      </c>
      <c r="I32" s="95">
        <v>0</v>
      </c>
      <c r="J32" s="95">
        <v>0</v>
      </c>
      <c r="K32" s="96">
        <v>44568</v>
      </c>
      <c r="L32" s="95">
        <v>0</v>
      </c>
      <c r="M32" s="95">
        <v>0</v>
      </c>
      <c r="N32" s="95">
        <v>0</v>
      </c>
      <c r="O32" s="95">
        <v>0</v>
      </c>
      <c r="P32" s="95">
        <v>0</v>
      </c>
      <c r="Q32" s="95">
        <v>0</v>
      </c>
      <c r="R32" s="95">
        <v>0</v>
      </c>
      <c r="S32" s="95" t="e">
        <v>#REF!</v>
      </c>
      <c r="T32" s="95" t="e">
        <v>#REF!</v>
      </c>
      <c r="U32" s="95" t="s">
        <v>166</v>
      </c>
      <c r="V32" s="95" t="s">
        <v>166</v>
      </c>
      <c r="W32" s="95" t="s">
        <v>166</v>
      </c>
      <c r="X32" s="95" t="s">
        <v>166</v>
      </c>
      <c r="Y32" s="95" t="s">
        <v>166</v>
      </c>
      <c r="Z32" s="95" t="s">
        <v>166</v>
      </c>
      <c r="AA32" s="95" t="s">
        <v>166</v>
      </c>
      <c r="AB32" s="95" t="s">
        <v>166</v>
      </c>
      <c r="AC32" s="95" t="s">
        <v>166</v>
      </c>
      <c r="AD32" s="95" t="s">
        <v>166</v>
      </c>
      <c r="AE32" s="95" t="s">
        <v>166</v>
      </c>
      <c r="AF32" s="95" t="s">
        <v>166</v>
      </c>
      <c r="AG32" s="95">
        <v>0</v>
      </c>
      <c r="AH32" s="95">
        <v>0</v>
      </c>
      <c r="AI32" s="95">
        <v>0</v>
      </c>
      <c r="AJ32" s="95">
        <v>0</v>
      </c>
      <c r="AK32" s="95">
        <v>0</v>
      </c>
      <c r="AL32" s="95">
        <v>0</v>
      </c>
      <c r="AM32" s="95" t="b">
        <v>0</v>
      </c>
      <c r="AN32" s="95" t="b">
        <v>0</v>
      </c>
      <c r="AO32" s="95">
        <v>0</v>
      </c>
      <c r="AP32" s="95">
        <v>0</v>
      </c>
      <c r="AQ32" s="95">
        <v>0</v>
      </c>
      <c r="AR32" s="95">
        <v>0</v>
      </c>
      <c r="AS32" s="95">
        <v>0</v>
      </c>
      <c r="AT32" s="95">
        <v>0</v>
      </c>
      <c r="AU32" s="95">
        <v>0</v>
      </c>
      <c r="AV32" s="95">
        <v>0</v>
      </c>
      <c r="AW32" s="95">
        <v>0</v>
      </c>
      <c r="AX32" s="95">
        <v>0</v>
      </c>
      <c r="AY32" s="95">
        <v>0</v>
      </c>
      <c r="AZ32" s="95">
        <v>0</v>
      </c>
      <c r="BA32" s="95">
        <v>0</v>
      </c>
      <c r="BB32" s="95">
        <v>0</v>
      </c>
      <c r="BC32" s="95">
        <v>0</v>
      </c>
      <c r="BD32" s="95">
        <v>0</v>
      </c>
      <c r="BE32" s="95">
        <v>0</v>
      </c>
      <c r="BF32" s="95">
        <v>0</v>
      </c>
      <c r="BG32" s="95">
        <v>0</v>
      </c>
      <c r="BH32" s="95">
        <v>0</v>
      </c>
      <c r="BI32" s="95">
        <v>0</v>
      </c>
      <c r="BJ32" s="95">
        <v>0</v>
      </c>
      <c r="BK32" s="95">
        <v>0</v>
      </c>
      <c r="BL32" s="95">
        <v>0</v>
      </c>
      <c r="BM32" s="95">
        <v>0</v>
      </c>
      <c r="BN32" s="95">
        <v>0</v>
      </c>
      <c r="BO32" s="95" t="s">
        <v>165</v>
      </c>
      <c r="BP32" s="95">
        <v>0</v>
      </c>
      <c r="BQ32" s="95">
        <v>0</v>
      </c>
      <c r="BR32" s="95">
        <v>0</v>
      </c>
      <c r="BS32" s="95">
        <v>0</v>
      </c>
      <c r="BT32" s="95">
        <v>0</v>
      </c>
      <c r="BU32" s="95">
        <v>0</v>
      </c>
      <c r="BV32" s="95">
        <v>0</v>
      </c>
      <c r="BW32" s="95">
        <v>0</v>
      </c>
      <c r="BX32" s="95">
        <v>0</v>
      </c>
      <c r="BY32" s="95">
        <v>0</v>
      </c>
      <c r="BZ32" s="95">
        <v>0</v>
      </c>
      <c r="CA32" s="95">
        <v>0</v>
      </c>
      <c r="CB32" s="95">
        <v>0</v>
      </c>
      <c r="CC32" s="95">
        <v>0</v>
      </c>
      <c r="CD32" s="95">
        <v>0</v>
      </c>
      <c r="CE32" s="95">
        <v>0</v>
      </c>
      <c r="CF32" s="95">
        <v>0</v>
      </c>
      <c r="CG32" s="97">
        <v>0.1</v>
      </c>
      <c r="CH32" s="97">
        <v>0.1</v>
      </c>
      <c r="CI32" s="97">
        <v>0.1</v>
      </c>
      <c r="CJ32" s="97">
        <v>0.1</v>
      </c>
      <c r="CK32" s="97">
        <v>0.05</v>
      </c>
      <c r="CL32" s="97">
        <v>0.05</v>
      </c>
      <c r="CM32" s="97">
        <v>0.05</v>
      </c>
      <c r="CN32" s="97">
        <v>0.05</v>
      </c>
      <c r="CO32" s="97">
        <v>0.05</v>
      </c>
      <c r="CP32" s="97">
        <v>0</v>
      </c>
      <c r="CQ32" s="97">
        <v>0.2</v>
      </c>
      <c r="CR32" s="97">
        <v>0.25</v>
      </c>
      <c r="CS32" s="97">
        <v>0.1</v>
      </c>
      <c r="CT32" s="97">
        <v>0.2</v>
      </c>
      <c r="CU32" s="97">
        <v>0</v>
      </c>
      <c r="CV32" s="97">
        <v>1</v>
      </c>
    </row>
    <row r="33" spans="1:100" x14ac:dyDescent="0.2">
      <c r="A33" s="95" t="s">
        <v>199</v>
      </c>
      <c r="B33" s="95" t="s">
        <v>183</v>
      </c>
      <c r="C33" s="95" t="s">
        <v>168</v>
      </c>
      <c r="D33" s="95" t="s">
        <v>169</v>
      </c>
      <c r="E33" s="95" t="s">
        <v>170</v>
      </c>
      <c r="F33" s="95">
        <v>0</v>
      </c>
      <c r="G33" s="95" t="e">
        <v>#DIV/0!</v>
      </c>
      <c r="H33" s="95">
        <v>0</v>
      </c>
      <c r="I33" s="95">
        <v>0</v>
      </c>
      <c r="J33" s="95" t="e">
        <v>#REF!</v>
      </c>
      <c r="K33" s="96">
        <v>44973</v>
      </c>
      <c r="L33" s="95" t="s">
        <v>200</v>
      </c>
      <c r="M33" s="95" t="s">
        <v>173</v>
      </c>
      <c r="N33" s="95" t="s">
        <v>201</v>
      </c>
      <c r="O33" s="95">
        <v>0</v>
      </c>
      <c r="P33" s="95">
        <v>0</v>
      </c>
      <c r="Q33" s="95" t="s">
        <v>171</v>
      </c>
      <c r="R33" s="95">
        <v>0</v>
      </c>
      <c r="S33" s="95" t="e">
        <v>#REF!</v>
      </c>
      <c r="T33" s="95" t="e">
        <v>#REF!</v>
      </c>
      <c r="U33" s="95" t="s">
        <v>166</v>
      </c>
      <c r="V33" s="95" t="s">
        <v>166</v>
      </c>
      <c r="W33" s="95" t="s">
        <v>166</v>
      </c>
      <c r="X33" s="95" t="s">
        <v>166</v>
      </c>
      <c r="Y33" s="95" t="s">
        <v>166</v>
      </c>
      <c r="Z33" s="95" t="s">
        <v>166</v>
      </c>
      <c r="AA33" s="95" t="s">
        <v>166</v>
      </c>
      <c r="AB33" s="95" t="s">
        <v>166</v>
      </c>
      <c r="AC33" s="95" t="s">
        <v>166</v>
      </c>
      <c r="AD33" s="95" t="s">
        <v>166</v>
      </c>
      <c r="AE33" s="95" t="s">
        <v>166</v>
      </c>
      <c r="AF33" s="95" t="s">
        <v>166</v>
      </c>
      <c r="AG33" s="95">
        <v>0</v>
      </c>
      <c r="AH33" s="95">
        <v>0</v>
      </c>
      <c r="AI33" s="95">
        <v>0</v>
      </c>
      <c r="AJ33" s="95">
        <v>0</v>
      </c>
      <c r="AK33" s="95">
        <v>0</v>
      </c>
      <c r="AL33" s="95">
        <v>0</v>
      </c>
      <c r="AM33" s="95" t="b">
        <v>0</v>
      </c>
      <c r="AN33" s="95">
        <v>0</v>
      </c>
      <c r="AO33" s="95">
        <v>0</v>
      </c>
      <c r="AP33" s="95">
        <v>0</v>
      </c>
      <c r="AQ33" s="95">
        <v>0</v>
      </c>
      <c r="AR33" s="95">
        <v>0</v>
      </c>
      <c r="AS33" s="95">
        <v>0</v>
      </c>
      <c r="AT33" s="95">
        <v>0</v>
      </c>
      <c r="AU33" s="95">
        <v>0</v>
      </c>
      <c r="AV33" s="95">
        <v>0</v>
      </c>
      <c r="AW33" s="95">
        <v>0</v>
      </c>
      <c r="AX33" s="95">
        <v>0</v>
      </c>
      <c r="AY33" s="95">
        <v>0</v>
      </c>
      <c r="AZ33" s="95">
        <v>0</v>
      </c>
      <c r="BA33" s="95">
        <v>0</v>
      </c>
      <c r="BB33" s="95">
        <v>0</v>
      </c>
      <c r="BC33" s="95">
        <v>0</v>
      </c>
      <c r="BD33" s="95">
        <v>0</v>
      </c>
      <c r="BE33" s="95">
        <v>0</v>
      </c>
      <c r="BF33" s="95">
        <v>0</v>
      </c>
      <c r="BG33" s="95">
        <v>0</v>
      </c>
      <c r="BH33" s="95">
        <v>0</v>
      </c>
      <c r="BI33" s="95">
        <v>0</v>
      </c>
      <c r="BJ33" s="95">
        <v>0</v>
      </c>
      <c r="BK33" s="95">
        <v>0</v>
      </c>
      <c r="BL33" s="95">
        <v>0</v>
      </c>
      <c r="BM33" s="95">
        <v>0</v>
      </c>
      <c r="BN33" s="95">
        <v>0</v>
      </c>
      <c r="BO33" s="95" t="s">
        <v>165</v>
      </c>
      <c r="BP33" s="95">
        <v>0</v>
      </c>
      <c r="BQ33" s="95">
        <v>0</v>
      </c>
      <c r="BR33" s="95">
        <v>0</v>
      </c>
      <c r="BS33" s="95">
        <v>0</v>
      </c>
      <c r="BT33" s="95">
        <v>0</v>
      </c>
      <c r="BU33" s="95">
        <v>0</v>
      </c>
      <c r="BV33" s="95">
        <v>0</v>
      </c>
      <c r="BW33" s="95">
        <v>0</v>
      </c>
      <c r="BX33" s="95">
        <v>0</v>
      </c>
      <c r="BY33" s="95">
        <v>0</v>
      </c>
      <c r="BZ33" s="95">
        <v>0</v>
      </c>
      <c r="CA33" s="95">
        <v>0</v>
      </c>
      <c r="CB33" s="95">
        <v>0</v>
      </c>
      <c r="CC33" s="95">
        <v>0</v>
      </c>
      <c r="CD33" s="95">
        <v>0</v>
      </c>
      <c r="CE33" s="95">
        <v>0</v>
      </c>
      <c r="CF33" s="95">
        <v>0</v>
      </c>
      <c r="CG33" s="97">
        <v>0.1</v>
      </c>
      <c r="CH33" s="97">
        <v>0.1</v>
      </c>
      <c r="CI33" s="97">
        <v>0.1</v>
      </c>
      <c r="CJ33" s="97">
        <v>0.1</v>
      </c>
      <c r="CK33" s="97">
        <v>0.05</v>
      </c>
      <c r="CL33" s="97">
        <v>0.05</v>
      </c>
      <c r="CM33" s="97">
        <v>0.05</v>
      </c>
      <c r="CN33" s="97">
        <v>0.05</v>
      </c>
      <c r="CO33" s="97">
        <v>0.05</v>
      </c>
      <c r="CP33" s="97">
        <v>0</v>
      </c>
      <c r="CQ33" s="97">
        <v>0.2</v>
      </c>
      <c r="CR33" s="97">
        <v>0.25</v>
      </c>
      <c r="CS33" s="97">
        <v>0.1</v>
      </c>
      <c r="CT33" s="97">
        <v>0.2</v>
      </c>
      <c r="CU33" s="97">
        <v>0</v>
      </c>
      <c r="CV33" s="97">
        <v>1</v>
      </c>
    </row>
    <row r="34" spans="1:100" x14ac:dyDescent="0.2">
      <c r="A34" s="95">
        <v>0</v>
      </c>
      <c r="B34" s="95">
        <v>0</v>
      </c>
      <c r="C34" s="95" t="s">
        <v>165</v>
      </c>
      <c r="D34" s="95">
        <v>0</v>
      </c>
      <c r="E34" s="95" t="s">
        <v>165</v>
      </c>
      <c r="F34" s="95">
        <v>0</v>
      </c>
      <c r="G34" s="95" t="e">
        <v>#DIV/0!</v>
      </c>
      <c r="H34" s="95">
        <v>0</v>
      </c>
      <c r="I34" s="95">
        <v>0</v>
      </c>
      <c r="J34" s="95" t="e">
        <v>#REF!</v>
      </c>
      <c r="K34" s="96">
        <v>44973</v>
      </c>
      <c r="L34" s="95">
        <v>0</v>
      </c>
      <c r="M34" s="95">
        <v>0</v>
      </c>
      <c r="N34" s="95">
        <v>0</v>
      </c>
      <c r="O34" s="95">
        <v>0</v>
      </c>
      <c r="P34" s="95">
        <v>0</v>
      </c>
      <c r="Q34" s="95">
        <v>0</v>
      </c>
      <c r="R34" s="95">
        <v>0</v>
      </c>
      <c r="S34" s="95" t="e">
        <v>#REF!</v>
      </c>
      <c r="T34" s="95" t="e">
        <v>#REF!</v>
      </c>
      <c r="U34" s="95" t="s">
        <v>166</v>
      </c>
      <c r="V34" s="95" t="s">
        <v>166</v>
      </c>
      <c r="W34" s="95" t="s">
        <v>166</v>
      </c>
      <c r="X34" s="95" t="s">
        <v>166</v>
      </c>
      <c r="Y34" s="95" t="s">
        <v>166</v>
      </c>
      <c r="Z34" s="95" t="s">
        <v>166</v>
      </c>
      <c r="AA34" s="95" t="s">
        <v>166</v>
      </c>
      <c r="AB34" s="95" t="s">
        <v>166</v>
      </c>
      <c r="AC34" s="95" t="s">
        <v>166</v>
      </c>
      <c r="AD34" s="95" t="s">
        <v>166</v>
      </c>
      <c r="AE34" s="95" t="s">
        <v>166</v>
      </c>
      <c r="AF34" s="95" t="s">
        <v>166</v>
      </c>
      <c r="AG34" s="95">
        <v>0</v>
      </c>
      <c r="AH34" s="95">
        <v>0</v>
      </c>
      <c r="AI34" s="95">
        <v>0</v>
      </c>
      <c r="AJ34" s="95">
        <v>0</v>
      </c>
      <c r="AK34" s="95">
        <v>0</v>
      </c>
      <c r="AL34" s="95">
        <v>0</v>
      </c>
      <c r="AM34" s="95">
        <v>0</v>
      </c>
      <c r="AN34" s="95">
        <v>0</v>
      </c>
      <c r="AO34" s="95">
        <v>0</v>
      </c>
      <c r="AP34" s="95">
        <v>0</v>
      </c>
      <c r="AQ34" s="95">
        <v>0</v>
      </c>
      <c r="AR34" s="95">
        <v>0</v>
      </c>
      <c r="AS34" s="95">
        <v>0</v>
      </c>
      <c r="AT34" s="95">
        <v>0</v>
      </c>
      <c r="AU34" s="95">
        <v>0</v>
      </c>
      <c r="AV34" s="95">
        <v>0</v>
      </c>
      <c r="AW34" s="95">
        <v>0</v>
      </c>
      <c r="AX34" s="95">
        <v>0</v>
      </c>
      <c r="AY34" s="95">
        <v>0</v>
      </c>
      <c r="AZ34" s="95">
        <v>0</v>
      </c>
      <c r="BA34" s="95">
        <v>0</v>
      </c>
      <c r="BB34" s="95">
        <v>0</v>
      </c>
      <c r="BC34" s="95">
        <v>0</v>
      </c>
      <c r="BD34" s="95">
        <v>0</v>
      </c>
      <c r="BE34" s="95">
        <v>0</v>
      </c>
      <c r="BF34" s="95">
        <v>0</v>
      </c>
      <c r="BG34" s="95">
        <v>0</v>
      </c>
      <c r="BH34" s="95">
        <v>0</v>
      </c>
      <c r="BI34" s="95">
        <v>0</v>
      </c>
      <c r="BJ34" s="95">
        <v>0</v>
      </c>
      <c r="BK34" s="95">
        <v>0</v>
      </c>
      <c r="BL34" s="95">
        <v>0</v>
      </c>
      <c r="BM34" s="95">
        <v>0</v>
      </c>
      <c r="BN34" s="95">
        <v>0</v>
      </c>
      <c r="BO34" s="95">
        <v>0</v>
      </c>
      <c r="BP34" s="95">
        <v>0</v>
      </c>
      <c r="BQ34" s="95">
        <v>0</v>
      </c>
      <c r="BR34" s="95">
        <v>0</v>
      </c>
      <c r="BS34" s="95">
        <v>0</v>
      </c>
      <c r="BT34" s="95">
        <v>0</v>
      </c>
      <c r="BU34" s="95">
        <v>0</v>
      </c>
      <c r="BV34" s="95">
        <v>0</v>
      </c>
      <c r="BW34" s="95">
        <v>0</v>
      </c>
      <c r="BX34" s="95">
        <v>0</v>
      </c>
      <c r="BY34" s="95">
        <v>0</v>
      </c>
      <c r="BZ34" s="95">
        <v>0</v>
      </c>
      <c r="CA34" s="95">
        <v>0</v>
      </c>
      <c r="CB34" s="95">
        <v>0</v>
      </c>
      <c r="CC34" s="95">
        <v>0</v>
      </c>
      <c r="CD34" s="95">
        <v>0</v>
      </c>
      <c r="CE34" s="95">
        <v>0</v>
      </c>
      <c r="CF34" s="95">
        <v>0</v>
      </c>
      <c r="CG34" s="97">
        <v>0.1</v>
      </c>
      <c r="CH34" s="97">
        <v>0.1</v>
      </c>
      <c r="CI34" s="97">
        <v>0.1</v>
      </c>
      <c r="CJ34" s="97">
        <v>0.1</v>
      </c>
      <c r="CK34" s="97">
        <v>0.05</v>
      </c>
      <c r="CL34" s="97">
        <v>0.05</v>
      </c>
      <c r="CM34" s="97">
        <v>0.05</v>
      </c>
      <c r="CN34" s="97">
        <v>0.05</v>
      </c>
      <c r="CO34" s="97">
        <v>0.05</v>
      </c>
      <c r="CP34" s="97">
        <v>0</v>
      </c>
      <c r="CQ34" s="97">
        <v>0.2</v>
      </c>
      <c r="CR34" s="97">
        <v>0.25</v>
      </c>
      <c r="CS34" s="97">
        <v>0.1</v>
      </c>
      <c r="CT34" s="97">
        <v>0.2</v>
      </c>
      <c r="CU34" s="97">
        <v>0</v>
      </c>
      <c r="CV34" s="97">
        <v>1</v>
      </c>
    </row>
    <row r="35" spans="1:100" x14ac:dyDescent="0.2">
      <c r="A35" s="95">
        <v>0</v>
      </c>
      <c r="B35" s="95">
        <v>0</v>
      </c>
      <c r="C35" s="95" t="s">
        <v>165</v>
      </c>
      <c r="D35" s="95" t="s">
        <v>165</v>
      </c>
      <c r="E35" s="95" t="s">
        <v>165</v>
      </c>
      <c r="F35" s="95">
        <v>0</v>
      </c>
      <c r="G35" s="95" t="e">
        <v>#DIV/0!</v>
      </c>
      <c r="H35" s="95">
        <v>0</v>
      </c>
      <c r="I35" s="95">
        <v>0</v>
      </c>
      <c r="J35" s="95" t="e">
        <v>#REF!</v>
      </c>
      <c r="K35" s="96">
        <v>44973</v>
      </c>
      <c r="L35" s="95">
        <v>0</v>
      </c>
      <c r="M35" s="95">
        <v>0</v>
      </c>
      <c r="N35" s="95">
        <v>0</v>
      </c>
      <c r="O35" s="95">
        <v>0</v>
      </c>
      <c r="P35" s="95">
        <v>0</v>
      </c>
      <c r="Q35" s="95">
        <v>0</v>
      </c>
      <c r="R35" s="95">
        <v>0</v>
      </c>
      <c r="S35" s="95" t="e">
        <v>#REF!</v>
      </c>
      <c r="T35" s="95" t="e">
        <v>#REF!</v>
      </c>
      <c r="U35" s="95" t="s">
        <v>166</v>
      </c>
      <c r="V35" s="95" t="s">
        <v>166</v>
      </c>
      <c r="W35" s="95" t="s">
        <v>166</v>
      </c>
      <c r="X35" s="95" t="s">
        <v>166</v>
      </c>
      <c r="Y35" s="95" t="s">
        <v>166</v>
      </c>
      <c r="Z35" s="95" t="s">
        <v>166</v>
      </c>
      <c r="AA35" s="95" t="s">
        <v>166</v>
      </c>
      <c r="AB35" s="95" t="s">
        <v>166</v>
      </c>
      <c r="AC35" s="95" t="s">
        <v>166</v>
      </c>
      <c r="AD35" s="95" t="s">
        <v>166</v>
      </c>
      <c r="AE35" s="95" t="s">
        <v>166</v>
      </c>
      <c r="AF35" s="95" t="s">
        <v>166</v>
      </c>
      <c r="AG35" s="95">
        <v>0</v>
      </c>
      <c r="AH35" s="95">
        <v>0</v>
      </c>
      <c r="AI35" s="95">
        <v>0</v>
      </c>
      <c r="AJ35" s="95">
        <v>0</v>
      </c>
      <c r="AK35" s="95">
        <v>0</v>
      </c>
      <c r="AL35" s="95">
        <v>0</v>
      </c>
      <c r="AM35" s="95">
        <v>0</v>
      </c>
      <c r="AN35" s="95" t="b">
        <v>0</v>
      </c>
      <c r="AO35" s="95">
        <v>0</v>
      </c>
      <c r="AP35" s="95" t="b">
        <v>0</v>
      </c>
      <c r="AQ35" s="95">
        <v>0</v>
      </c>
      <c r="AR35" s="95">
        <v>0</v>
      </c>
      <c r="AS35" s="95">
        <v>0</v>
      </c>
      <c r="AT35" s="95">
        <v>0</v>
      </c>
      <c r="AU35" s="95">
        <v>0</v>
      </c>
      <c r="AV35" s="95" t="b">
        <v>0</v>
      </c>
      <c r="AW35" s="95">
        <v>0</v>
      </c>
      <c r="AX35" s="95">
        <v>0</v>
      </c>
      <c r="AY35" s="95">
        <v>0</v>
      </c>
      <c r="AZ35" s="95">
        <v>0</v>
      </c>
      <c r="BA35" s="95">
        <v>0</v>
      </c>
      <c r="BB35" s="95">
        <v>0</v>
      </c>
      <c r="BC35" s="95">
        <v>0</v>
      </c>
      <c r="BD35" s="95">
        <v>0</v>
      </c>
      <c r="BE35" s="95">
        <v>0</v>
      </c>
      <c r="BF35" s="95">
        <v>0</v>
      </c>
      <c r="BG35" s="95">
        <v>0</v>
      </c>
      <c r="BH35" s="95">
        <v>0</v>
      </c>
      <c r="BI35" s="95">
        <v>0</v>
      </c>
      <c r="BJ35" s="95">
        <v>0</v>
      </c>
      <c r="BK35" s="95">
        <v>0</v>
      </c>
      <c r="BL35" s="95">
        <v>0</v>
      </c>
      <c r="BM35" s="95">
        <v>0</v>
      </c>
      <c r="BN35" s="95">
        <v>0</v>
      </c>
      <c r="BO35" s="95" t="s">
        <v>165</v>
      </c>
      <c r="BP35" s="95">
        <v>0</v>
      </c>
      <c r="BQ35" s="95">
        <v>0</v>
      </c>
      <c r="BR35" s="95">
        <v>0</v>
      </c>
      <c r="BS35" s="95">
        <v>0</v>
      </c>
      <c r="BT35" s="95">
        <v>0</v>
      </c>
      <c r="BU35" s="95">
        <v>0</v>
      </c>
      <c r="BV35" s="95">
        <v>0</v>
      </c>
      <c r="BW35" s="95">
        <v>0</v>
      </c>
      <c r="BX35" s="95">
        <v>0</v>
      </c>
      <c r="BY35" s="95">
        <v>0</v>
      </c>
      <c r="BZ35" s="95">
        <v>0</v>
      </c>
      <c r="CA35" s="95">
        <v>0</v>
      </c>
      <c r="CB35" s="95">
        <v>0</v>
      </c>
      <c r="CC35" s="95">
        <v>0</v>
      </c>
      <c r="CD35" s="95">
        <v>0</v>
      </c>
      <c r="CE35" s="95">
        <v>0</v>
      </c>
      <c r="CF35" s="95">
        <v>0</v>
      </c>
      <c r="CG35" s="97">
        <v>0.1</v>
      </c>
      <c r="CH35" s="97">
        <v>0.1</v>
      </c>
      <c r="CI35" s="97">
        <v>0.1</v>
      </c>
      <c r="CJ35" s="97">
        <v>0.1</v>
      </c>
      <c r="CK35" s="97">
        <v>0.05</v>
      </c>
      <c r="CL35" s="97">
        <v>0.05</v>
      </c>
      <c r="CM35" s="97">
        <v>0.05</v>
      </c>
      <c r="CN35" s="97">
        <v>0.05</v>
      </c>
      <c r="CO35" s="97">
        <v>0.05</v>
      </c>
      <c r="CP35" s="97">
        <v>0</v>
      </c>
      <c r="CQ35" s="97">
        <v>0.2</v>
      </c>
      <c r="CR35" s="97">
        <v>0.25</v>
      </c>
      <c r="CS35" s="97">
        <v>0.1</v>
      </c>
      <c r="CT35" s="97">
        <v>0.2</v>
      </c>
      <c r="CU35" s="97">
        <v>0</v>
      </c>
      <c r="CV35" s="97">
        <v>1</v>
      </c>
    </row>
    <row r="36" spans="1:100" x14ac:dyDescent="0.2">
      <c r="A36" s="95">
        <v>0</v>
      </c>
      <c r="B36" s="95">
        <v>0</v>
      </c>
      <c r="C36" s="95" t="s">
        <v>165</v>
      </c>
      <c r="D36" s="95">
        <v>0</v>
      </c>
      <c r="E36" s="95" t="s">
        <v>165</v>
      </c>
      <c r="F36" s="95">
        <v>0</v>
      </c>
      <c r="G36" s="95" t="e">
        <v>#DIV/0!</v>
      </c>
      <c r="H36" s="95">
        <v>0</v>
      </c>
      <c r="I36" s="95">
        <v>0</v>
      </c>
      <c r="J36" s="95" t="e">
        <v>#REF!</v>
      </c>
      <c r="K36" s="96">
        <v>44973</v>
      </c>
      <c r="L36" s="95">
        <v>0</v>
      </c>
      <c r="M36" s="95">
        <v>0</v>
      </c>
      <c r="N36" s="95">
        <v>0</v>
      </c>
      <c r="O36" s="95">
        <v>0</v>
      </c>
      <c r="P36" s="95">
        <v>0</v>
      </c>
      <c r="Q36" s="95">
        <v>0</v>
      </c>
      <c r="R36" s="95">
        <v>0</v>
      </c>
      <c r="S36" s="95" t="e">
        <v>#REF!</v>
      </c>
      <c r="T36" s="95" t="e">
        <v>#REF!</v>
      </c>
      <c r="U36" s="95" t="s">
        <v>166</v>
      </c>
      <c r="V36" s="95" t="s">
        <v>166</v>
      </c>
      <c r="W36" s="95" t="s">
        <v>166</v>
      </c>
      <c r="X36" s="95" t="s">
        <v>166</v>
      </c>
      <c r="Y36" s="95" t="s">
        <v>166</v>
      </c>
      <c r="Z36" s="95" t="s">
        <v>166</v>
      </c>
      <c r="AA36" s="95" t="s">
        <v>166</v>
      </c>
      <c r="AB36" s="95" t="s">
        <v>166</v>
      </c>
      <c r="AC36" s="95" t="s">
        <v>166</v>
      </c>
      <c r="AD36" s="95" t="s">
        <v>166</v>
      </c>
      <c r="AE36" s="95" t="s">
        <v>166</v>
      </c>
      <c r="AF36" s="95" t="s">
        <v>166</v>
      </c>
      <c r="AG36" s="95">
        <v>0</v>
      </c>
      <c r="AH36" s="95">
        <v>0</v>
      </c>
      <c r="AI36" s="95">
        <v>0</v>
      </c>
      <c r="AJ36" s="95">
        <v>0</v>
      </c>
      <c r="AK36" s="95">
        <v>0</v>
      </c>
      <c r="AL36" s="95">
        <v>0</v>
      </c>
      <c r="AM36" s="95">
        <v>0</v>
      </c>
      <c r="AN36" s="95">
        <v>0</v>
      </c>
      <c r="AO36" s="95">
        <v>0</v>
      </c>
      <c r="AP36" s="95">
        <v>0</v>
      </c>
      <c r="AQ36" s="95">
        <v>0</v>
      </c>
      <c r="AR36" s="95">
        <v>0</v>
      </c>
      <c r="AS36" s="95">
        <v>0</v>
      </c>
      <c r="AT36" s="95">
        <v>0</v>
      </c>
      <c r="AU36" s="95">
        <v>0</v>
      </c>
      <c r="AV36" s="95">
        <v>0</v>
      </c>
      <c r="AW36" s="95">
        <v>0</v>
      </c>
      <c r="AX36" s="95">
        <v>0</v>
      </c>
      <c r="AY36" s="95">
        <v>0</v>
      </c>
      <c r="AZ36" s="95">
        <v>0</v>
      </c>
      <c r="BA36" s="95">
        <v>0</v>
      </c>
      <c r="BB36" s="95">
        <v>0</v>
      </c>
      <c r="BC36" s="95">
        <v>0</v>
      </c>
      <c r="BD36" s="95">
        <v>0</v>
      </c>
      <c r="BE36" s="95">
        <v>0</v>
      </c>
      <c r="BF36" s="95">
        <v>0</v>
      </c>
      <c r="BG36" s="95">
        <v>0</v>
      </c>
      <c r="BH36" s="95">
        <v>0</v>
      </c>
      <c r="BI36" s="95">
        <v>0</v>
      </c>
      <c r="BJ36" s="95">
        <v>0</v>
      </c>
      <c r="BK36" s="95">
        <v>0</v>
      </c>
      <c r="BL36" s="95">
        <v>0</v>
      </c>
      <c r="BM36" s="95">
        <v>0</v>
      </c>
      <c r="BN36" s="95">
        <v>0</v>
      </c>
      <c r="BO36" s="95">
        <v>0</v>
      </c>
      <c r="BP36" s="95">
        <v>0</v>
      </c>
      <c r="BQ36" s="95">
        <v>0</v>
      </c>
      <c r="BR36" s="95">
        <v>0</v>
      </c>
      <c r="BS36" s="95">
        <v>0</v>
      </c>
      <c r="BT36" s="95">
        <v>0</v>
      </c>
      <c r="BU36" s="95">
        <v>0</v>
      </c>
      <c r="BV36" s="95">
        <v>0</v>
      </c>
      <c r="BW36" s="95">
        <v>0</v>
      </c>
      <c r="BX36" s="95">
        <v>0</v>
      </c>
      <c r="BY36" s="95">
        <v>0</v>
      </c>
      <c r="BZ36" s="95">
        <v>0</v>
      </c>
      <c r="CA36" s="95">
        <v>0</v>
      </c>
      <c r="CB36" s="95">
        <v>0</v>
      </c>
      <c r="CC36" s="95">
        <v>0</v>
      </c>
      <c r="CD36" s="95">
        <v>0</v>
      </c>
      <c r="CE36" s="95">
        <v>0</v>
      </c>
      <c r="CF36" s="95">
        <v>0</v>
      </c>
      <c r="CG36" s="97">
        <v>0.1</v>
      </c>
      <c r="CH36" s="97">
        <v>0.1</v>
      </c>
      <c r="CI36" s="97">
        <v>0.1</v>
      </c>
      <c r="CJ36" s="97">
        <v>0.1</v>
      </c>
      <c r="CK36" s="97">
        <v>0.05</v>
      </c>
      <c r="CL36" s="97">
        <v>0.05</v>
      </c>
      <c r="CM36" s="97">
        <v>0.05</v>
      </c>
      <c r="CN36" s="97">
        <v>0.05</v>
      </c>
      <c r="CO36" s="97">
        <v>0.05</v>
      </c>
      <c r="CP36" s="97">
        <v>0</v>
      </c>
      <c r="CQ36" s="97">
        <v>0.2</v>
      </c>
      <c r="CR36" s="97">
        <v>0.25</v>
      </c>
      <c r="CS36" s="97">
        <v>0.1</v>
      </c>
      <c r="CT36" s="97">
        <v>0.2</v>
      </c>
      <c r="CU36" s="97">
        <v>0</v>
      </c>
      <c r="CV36" s="97">
        <v>1</v>
      </c>
    </row>
    <row r="37" spans="1:100" x14ac:dyDescent="0.2">
      <c r="A37" s="95">
        <v>321321321</v>
      </c>
      <c r="B37" s="95">
        <v>0</v>
      </c>
      <c r="C37" s="95" t="s">
        <v>165</v>
      </c>
      <c r="D37" s="95">
        <v>0</v>
      </c>
      <c r="E37" s="95" t="s">
        <v>165</v>
      </c>
      <c r="F37" s="95">
        <v>0</v>
      </c>
      <c r="G37" s="95" t="e">
        <v>#DIV/0!</v>
      </c>
      <c r="H37" s="95">
        <v>0</v>
      </c>
      <c r="I37" s="95">
        <v>0</v>
      </c>
      <c r="J37" s="95" t="e">
        <v>#REF!</v>
      </c>
      <c r="K37" s="96">
        <v>44973</v>
      </c>
      <c r="L37" s="95">
        <v>0</v>
      </c>
      <c r="M37" s="95">
        <v>0</v>
      </c>
      <c r="N37" s="95">
        <v>0</v>
      </c>
      <c r="O37" s="95">
        <v>0</v>
      </c>
      <c r="P37" s="95">
        <v>0</v>
      </c>
      <c r="Q37" s="95">
        <v>0</v>
      </c>
      <c r="R37" s="95">
        <v>0</v>
      </c>
      <c r="S37" s="95" t="e">
        <v>#REF!</v>
      </c>
      <c r="T37" s="95" t="e">
        <v>#REF!</v>
      </c>
      <c r="U37" s="95" t="s">
        <v>167</v>
      </c>
      <c r="V37" s="95" t="s">
        <v>166</v>
      </c>
      <c r="W37" s="95" t="s">
        <v>166</v>
      </c>
      <c r="X37" s="95" t="s">
        <v>166</v>
      </c>
      <c r="Y37" s="95" t="s">
        <v>166</v>
      </c>
      <c r="Z37" s="95" t="s">
        <v>166</v>
      </c>
      <c r="AA37" s="95" t="s">
        <v>166</v>
      </c>
      <c r="AB37" s="95" t="s">
        <v>166</v>
      </c>
      <c r="AC37" s="95" t="s">
        <v>166</v>
      </c>
      <c r="AD37" s="95" t="s">
        <v>166</v>
      </c>
      <c r="AE37" s="95" t="s">
        <v>166</v>
      </c>
      <c r="AF37" s="95" t="s">
        <v>166</v>
      </c>
      <c r="AG37" s="95">
        <v>0</v>
      </c>
      <c r="AH37" s="95">
        <v>0</v>
      </c>
      <c r="AI37" s="95">
        <v>0</v>
      </c>
      <c r="AJ37" s="95">
        <v>0</v>
      </c>
      <c r="AK37" s="95">
        <v>0</v>
      </c>
      <c r="AL37" s="95">
        <v>0</v>
      </c>
      <c r="AM37" s="95" t="b">
        <v>1</v>
      </c>
      <c r="AN37" s="95">
        <v>0</v>
      </c>
      <c r="AO37" s="95">
        <v>0</v>
      </c>
      <c r="AP37" s="95">
        <v>0</v>
      </c>
      <c r="AQ37" s="95">
        <v>0</v>
      </c>
      <c r="AR37" s="95">
        <v>0</v>
      </c>
      <c r="AS37" s="95">
        <v>0</v>
      </c>
      <c r="AT37" s="95">
        <v>0</v>
      </c>
      <c r="AU37" s="95">
        <v>0</v>
      </c>
      <c r="AV37" s="95">
        <v>0</v>
      </c>
      <c r="AW37" s="95">
        <v>0</v>
      </c>
      <c r="AX37" s="95">
        <v>0</v>
      </c>
      <c r="AY37" s="95">
        <v>0</v>
      </c>
      <c r="AZ37" s="95">
        <v>0</v>
      </c>
      <c r="BA37" s="95">
        <v>0</v>
      </c>
      <c r="BB37" s="95">
        <v>0</v>
      </c>
      <c r="BC37" s="95">
        <v>0</v>
      </c>
      <c r="BD37" s="95">
        <v>0</v>
      </c>
      <c r="BE37" s="95">
        <v>0</v>
      </c>
      <c r="BF37" s="95">
        <v>0</v>
      </c>
      <c r="BG37" s="95">
        <v>0</v>
      </c>
      <c r="BH37" s="95">
        <v>0</v>
      </c>
      <c r="BI37" s="95">
        <v>0</v>
      </c>
      <c r="BJ37" s="95">
        <v>0</v>
      </c>
      <c r="BK37" s="95">
        <v>0</v>
      </c>
      <c r="BL37" s="95">
        <v>0</v>
      </c>
      <c r="BM37" s="95">
        <v>0</v>
      </c>
      <c r="BN37" s="95">
        <v>0</v>
      </c>
      <c r="BO37" s="95">
        <v>0</v>
      </c>
      <c r="BP37" s="95">
        <v>0</v>
      </c>
      <c r="BQ37" s="95">
        <v>0</v>
      </c>
      <c r="BR37" s="95">
        <v>0</v>
      </c>
      <c r="BS37" s="95">
        <v>0</v>
      </c>
      <c r="BT37" s="95">
        <v>0</v>
      </c>
      <c r="BU37" s="95">
        <v>0</v>
      </c>
      <c r="BV37" s="95">
        <v>0</v>
      </c>
      <c r="BW37" s="95">
        <v>0</v>
      </c>
      <c r="BX37" s="95">
        <v>0</v>
      </c>
      <c r="BY37" s="95">
        <v>0</v>
      </c>
      <c r="BZ37" s="95">
        <v>0</v>
      </c>
      <c r="CA37" s="95">
        <v>0</v>
      </c>
      <c r="CB37" s="95">
        <v>0</v>
      </c>
      <c r="CC37" s="95">
        <v>0</v>
      </c>
      <c r="CD37" s="95">
        <v>0</v>
      </c>
      <c r="CE37" s="95">
        <v>0</v>
      </c>
      <c r="CF37" s="95">
        <v>0</v>
      </c>
      <c r="CG37" s="97">
        <v>0.1</v>
      </c>
      <c r="CH37" s="97">
        <v>0.1</v>
      </c>
      <c r="CI37" s="97">
        <v>0</v>
      </c>
      <c r="CJ37" s="97">
        <v>0.1</v>
      </c>
      <c r="CK37" s="97">
        <v>0.05</v>
      </c>
      <c r="CL37" s="97">
        <v>0.05</v>
      </c>
      <c r="CM37" s="97">
        <v>0.05</v>
      </c>
      <c r="CN37" s="97">
        <v>0.05</v>
      </c>
      <c r="CO37" s="97">
        <v>0.05</v>
      </c>
      <c r="CP37" s="97">
        <v>0</v>
      </c>
      <c r="CQ37" s="97">
        <v>0.2</v>
      </c>
      <c r="CR37" s="97">
        <v>0.15000000000000002</v>
      </c>
      <c r="CS37" s="97">
        <v>0.1</v>
      </c>
      <c r="CT37" s="97">
        <v>0.2</v>
      </c>
      <c r="CU37" s="97">
        <v>0</v>
      </c>
      <c r="CV37" s="97">
        <v>0.89999999999999991</v>
      </c>
    </row>
    <row r="38" spans="1:100" x14ac:dyDescent="0.2">
      <c r="A38" s="95">
        <v>0</v>
      </c>
      <c r="B38" s="95">
        <v>0</v>
      </c>
      <c r="C38" s="95" t="s">
        <v>165</v>
      </c>
      <c r="D38" s="95">
        <v>0</v>
      </c>
      <c r="E38" s="95" t="s">
        <v>165</v>
      </c>
      <c r="F38" s="95">
        <v>0</v>
      </c>
      <c r="G38" s="95" t="e">
        <v>#DIV/0!</v>
      </c>
      <c r="H38" s="95">
        <v>0</v>
      </c>
      <c r="I38" s="95">
        <v>0</v>
      </c>
      <c r="J38" s="95" t="e">
        <v>#REF!</v>
      </c>
      <c r="K38" s="96">
        <v>44973</v>
      </c>
      <c r="L38" s="95">
        <v>0</v>
      </c>
      <c r="M38" s="95">
        <v>0</v>
      </c>
      <c r="N38" s="95">
        <v>0</v>
      </c>
      <c r="O38" s="95">
        <v>0</v>
      </c>
      <c r="P38" s="95">
        <v>0</v>
      </c>
      <c r="Q38" s="95">
        <v>0</v>
      </c>
      <c r="R38" s="95">
        <v>0</v>
      </c>
      <c r="S38" s="95" t="e">
        <v>#REF!</v>
      </c>
      <c r="T38" s="95" t="e">
        <v>#REF!</v>
      </c>
      <c r="U38" s="95" t="s">
        <v>166</v>
      </c>
      <c r="V38" s="95" t="s">
        <v>166</v>
      </c>
      <c r="W38" s="95" t="s">
        <v>166</v>
      </c>
      <c r="X38" s="95" t="s">
        <v>166</v>
      </c>
      <c r="Y38" s="95" t="s">
        <v>166</v>
      </c>
      <c r="Z38" s="95" t="s">
        <v>166</v>
      </c>
      <c r="AA38" s="95" t="s">
        <v>166</v>
      </c>
      <c r="AB38" s="95" t="s">
        <v>166</v>
      </c>
      <c r="AC38" s="95" t="s">
        <v>166</v>
      </c>
      <c r="AD38" s="95" t="s">
        <v>166</v>
      </c>
      <c r="AE38" s="95" t="s">
        <v>166</v>
      </c>
      <c r="AF38" s="95" t="s">
        <v>166</v>
      </c>
      <c r="AG38" s="95">
        <v>0</v>
      </c>
      <c r="AH38" s="95">
        <v>0</v>
      </c>
      <c r="AI38" s="95">
        <v>0</v>
      </c>
      <c r="AJ38" s="95">
        <v>0</v>
      </c>
      <c r="AK38" s="95">
        <v>0</v>
      </c>
      <c r="AL38" s="95">
        <v>0</v>
      </c>
      <c r="AM38" s="95">
        <v>0</v>
      </c>
      <c r="AN38" s="95">
        <v>0</v>
      </c>
      <c r="AO38" s="95">
        <v>0</v>
      </c>
      <c r="AP38" s="95">
        <v>0</v>
      </c>
      <c r="AQ38" s="95">
        <v>0</v>
      </c>
      <c r="AR38" s="95">
        <v>0</v>
      </c>
      <c r="AS38" s="95">
        <v>0</v>
      </c>
      <c r="AT38" s="95">
        <v>0</v>
      </c>
      <c r="AU38" s="95">
        <v>0</v>
      </c>
      <c r="AV38" s="95">
        <v>0</v>
      </c>
      <c r="AW38" s="95">
        <v>0</v>
      </c>
      <c r="AX38" s="95">
        <v>0</v>
      </c>
      <c r="AY38" s="95">
        <v>0</v>
      </c>
      <c r="AZ38" s="95">
        <v>0</v>
      </c>
      <c r="BA38" s="95">
        <v>0</v>
      </c>
      <c r="BB38" s="95">
        <v>0</v>
      </c>
      <c r="BC38" s="95">
        <v>0</v>
      </c>
      <c r="BD38" s="95">
        <v>0</v>
      </c>
      <c r="BE38" s="95">
        <v>0</v>
      </c>
      <c r="BF38" s="95">
        <v>0</v>
      </c>
      <c r="BG38" s="95">
        <v>0</v>
      </c>
      <c r="BH38" s="95">
        <v>0</v>
      </c>
      <c r="BI38" s="95">
        <v>0</v>
      </c>
      <c r="BJ38" s="95">
        <v>0</v>
      </c>
      <c r="BK38" s="95">
        <v>0</v>
      </c>
      <c r="BL38" s="95">
        <v>0</v>
      </c>
      <c r="BM38" s="95">
        <v>0</v>
      </c>
      <c r="BN38" s="95">
        <v>0</v>
      </c>
      <c r="BO38" s="95">
        <v>0</v>
      </c>
      <c r="BP38" s="95">
        <v>0</v>
      </c>
      <c r="BQ38" s="95">
        <v>0</v>
      </c>
      <c r="BR38" s="95">
        <v>0</v>
      </c>
      <c r="BS38" s="95">
        <v>0</v>
      </c>
      <c r="BT38" s="95">
        <v>0</v>
      </c>
      <c r="BU38" s="95">
        <v>0</v>
      </c>
      <c r="BV38" s="95">
        <v>0</v>
      </c>
      <c r="BW38" s="95">
        <v>0</v>
      </c>
      <c r="BX38" s="95">
        <v>0</v>
      </c>
      <c r="BY38" s="95">
        <v>0</v>
      </c>
      <c r="BZ38" s="95">
        <v>0</v>
      </c>
      <c r="CA38" s="95">
        <v>0</v>
      </c>
      <c r="CB38" s="95">
        <v>0</v>
      </c>
      <c r="CC38" s="95">
        <v>0</v>
      </c>
      <c r="CD38" s="95">
        <v>0</v>
      </c>
      <c r="CE38" s="95">
        <v>0</v>
      </c>
      <c r="CF38" s="95">
        <v>0</v>
      </c>
      <c r="CG38" s="97">
        <v>0.1</v>
      </c>
      <c r="CH38" s="97">
        <v>0.1</v>
      </c>
      <c r="CI38" s="97">
        <v>0.1</v>
      </c>
      <c r="CJ38" s="97">
        <v>0.1</v>
      </c>
      <c r="CK38" s="97">
        <v>0.05</v>
      </c>
      <c r="CL38" s="97">
        <v>0.05</v>
      </c>
      <c r="CM38" s="97">
        <v>0.05</v>
      </c>
      <c r="CN38" s="97">
        <v>0.05</v>
      </c>
      <c r="CO38" s="97">
        <v>0.05</v>
      </c>
      <c r="CP38" s="97">
        <v>0</v>
      </c>
      <c r="CQ38" s="97">
        <v>0.2</v>
      </c>
      <c r="CR38" s="97">
        <v>0.25</v>
      </c>
      <c r="CS38" s="97">
        <v>0.1</v>
      </c>
      <c r="CT38" s="97">
        <v>0.2</v>
      </c>
      <c r="CU38" s="97">
        <v>0</v>
      </c>
      <c r="CV38" s="97">
        <v>1</v>
      </c>
    </row>
    <row r="39" spans="1:100" x14ac:dyDescent="0.2">
      <c r="A39" s="95">
        <v>32132131</v>
      </c>
      <c r="B39" s="95">
        <v>0</v>
      </c>
      <c r="C39" s="95" t="s">
        <v>165</v>
      </c>
      <c r="D39" s="95">
        <v>0</v>
      </c>
      <c r="E39" s="95" t="s">
        <v>165</v>
      </c>
      <c r="F39" s="95">
        <v>0</v>
      </c>
      <c r="G39" s="95" t="e">
        <v>#DIV/0!</v>
      </c>
      <c r="H39" s="95">
        <v>0</v>
      </c>
      <c r="I39" s="95">
        <v>0</v>
      </c>
      <c r="J39" s="95" t="e">
        <v>#REF!</v>
      </c>
      <c r="K39" s="96">
        <v>44973</v>
      </c>
      <c r="L39" s="95">
        <v>0</v>
      </c>
      <c r="M39" s="95">
        <v>0</v>
      </c>
      <c r="N39" s="95">
        <v>0</v>
      </c>
      <c r="O39" s="95">
        <v>0</v>
      </c>
      <c r="P39" s="95">
        <v>0</v>
      </c>
      <c r="Q39" s="95">
        <v>0</v>
      </c>
      <c r="R39" s="95">
        <v>0</v>
      </c>
      <c r="S39" s="95" t="e">
        <v>#REF!</v>
      </c>
      <c r="T39" s="95" t="e">
        <v>#REF!</v>
      </c>
      <c r="U39" s="95" t="s">
        <v>166</v>
      </c>
      <c r="V39" s="95" t="s">
        <v>166</v>
      </c>
      <c r="W39" s="95" t="s">
        <v>166</v>
      </c>
      <c r="X39" s="95" t="s">
        <v>166</v>
      </c>
      <c r="Y39" s="95" t="s">
        <v>166</v>
      </c>
      <c r="Z39" s="95" t="s">
        <v>166</v>
      </c>
      <c r="AA39" s="95" t="s">
        <v>166</v>
      </c>
      <c r="AB39" s="95" t="s">
        <v>166</v>
      </c>
      <c r="AC39" s="95" t="s">
        <v>166</v>
      </c>
      <c r="AD39" s="95" t="s">
        <v>166</v>
      </c>
      <c r="AE39" s="95" t="s">
        <v>166</v>
      </c>
      <c r="AF39" s="95" t="s">
        <v>166</v>
      </c>
      <c r="AG39" s="95">
        <v>0</v>
      </c>
      <c r="AH39" s="95">
        <v>0</v>
      </c>
      <c r="AI39" s="95">
        <v>0</v>
      </c>
      <c r="AJ39" s="95">
        <v>0</v>
      </c>
      <c r="AK39" s="95">
        <v>0</v>
      </c>
      <c r="AL39" s="95">
        <v>0</v>
      </c>
      <c r="AM39" s="95">
        <v>0</v>
      </c>
      <c r="AN39" s="95">
        <v>0</v>
      </c>
      <c r="AO39" s="95">
        <v>0</v>
      </c>
      <c r="AP39" s="95">
        <v>0</v>
      </c>
      <c r="AQ39" s="95">
        <v>0</v>
      </c>
      <c r="AR39" s="95">
        <v>0</v>
      </c>
      <c r="AS39" s="95">
        <v>0</v>
      </c>
      <c r="AT39" s="95">
        <v>0</v>
      </c>
      <c r="AU39" s="95">
        <v>0</v>
      </c>
      <c r="AV39" s="95">
        <v>0</v>
      </c>
      <c r="AW39" s="95">
        <v>0</v>
      </c>
      <c r="AX39" s="95">
        <v>0</v>
      </c>
      <c r="AY39" s="95">
        <v>0</v>
      </c>
      <c r="AZ39" s="95">
        <v>0</v>
      </c>
      <c r="BA39" s="95">
        <v>0</v>
      </c>
      <c r="BB39" s="95">
        <v>0</v>
      </c>
      <c r="BC39" s="95">
        <v>0</v>
      </c>
      <c r="BD39" s="95">
        <v>0</v>
      </c>
      <c r="BE39" s="95">
        <v>0</v>
      </c>
      <c r="BF39" s="95">
        <v>0</v>
      </c>
      <c r="BG39" s="95">
        <v>0</v>
      </c>
      <c r="BH39" s="95">
        <v>0</v>
      </c>
      <c r="BI39" s="95">
        <v>0</v>
      </c>
      <c r="BJ39" s="95">
        <v>0</v>
      </c>
      <c r="BK39" s="95">
        <v>0</v>
      </c>
      <c r="BL39" s="95">
        <v>0</v>
      </c>
      <c r="BM39" s="95">
        <v>0</v>
      </c>
      <c r="BN39" s="95">
        <v>0</v>
      </c>
      <c r="BO39" s="95">
        <v>0</v>
      </c>
      <c r="BP39" s="95">
        <v>0</v>
      </c>
      <c r="BQ39" s="95">
        <v>0</v>
      </c>
      <c r="BR39" s="95">
        <v>0</v>
      </c>
      <c r="BS39" s="95">
        <v>0</v>
      </c>
      <c r="BT39" s="95">
        <v>0</v>
      </c>
      <c r="BU39" s="95">
        <v>0</v>
      </c>
      <c r="BV39" s="95">
        <v>0</v>
      </c>
      <c r="BW39" s="95">
        <v>0</v>
      </c>
      <c r="BX39" s="95">
        <v>0</v>
      </c>
      <c r="BY39" s="95">
        <v>0</v>
      </c>
      <c r="BZ39" s="95">
        <v>0</v>
      </c>
      <c r="CA39" s="95">
        <v>0</v>
      </c>
      <c r="CB39" s="95">
        <v>0</v>
      </c>
      <c r="CC39" s="95">
        <v>0</v>
      </c>
      <c r="CD39" s="95">
        <v>0</v>
      </c>
      <c r="CE39" s="95">
        <v>0</v>
      </c>
      <c r="CF39" s="95">
        <v>0</v>
      </c>
      <c r="CG39" s="97">
        <v>0.1</v>
      </c>
      <c r="CH39" s="97">
        <v>0.1</v>
      </c>
      <c r="CI39" s="97">
        <v>0.1</v>
      </c>
      <c r="CJ39" s="97">
        <v>0.1</v>
      </c>
      <c r="CK39" s="97">
        <v>0.05</v>
      </c>
      <c r="CL39" s="97">
        <v>0.05</v>
      </c>
      <c r="CM39" s="97">
        <v>0.05</v>
      </c>
      <c r="CN39" s="97">
        <v>0.05</v>
      </c>
      <c r="CO39" s="97">
        <v>0.05</v>
      </c>
      <c r="CP39" s="97">
        <v>0</v>
      </c>
      <c r="CQ39" s="97">
        <v>0.2</v>
      </c>
      <c r="CR39" s="97">
        <v>0.25</v>
      </c>
      <c r="CS39" s="97">
        <v>0.1</v>
      </c>
      <c r="CT39" s="97">
        <v>0.2</v>
      </c>
      <c r="CU39" s="97">
        <v>0</v>
      </c>
      <c r="CV39" s="97">
        <v>1</v>
      </c>
    </row>
    <row r="40" spans="1:100" x14ac:dyDescent="0.2">
      <c r="A40" s="95">
        <v>0</v>
      </c>
      <c r="B40" s="95">
        <v>0</v>
      </c>
      <c r="C40" s="95" t="s">
        <v>165</v>
      </c>
      <c r="D40" s="95">
        <v>0</v>
      </c>
      <c r="E40" s="95" t="s">
        <v>165</v>
      </c>
      <c r="F40" s="95">
        <v>0</v>
      </c>
      <c r="G40" s="95" t="e">
        <v>#DIV/0!</v>
      </c>
      <c r="H40" s="95">
        <v>0</v>
      </c>
      <c r="I40" s="95">
        <v>0</v>
      </c>
      <c r="J40" s="95" t="e">
        <v>#REF!</v>
      </c>
      <c r="K40" s="96">
        <v>44973</v>
      </c>
      <c r="L40" s="95">
        <v>0</v>
      </c>
      <c r="M40" s="95">
        <v>0</v>
      </c>
      <c r="N40" s="95">
        <v>0</v>
      </c>
      <c r="O40" s="95">
        <v>0</v>
      </c>
      <c r="P40" s="95">
        <v>0</v>
      </c>
      <c r="Q40" s="95">
        <v>0</v>
      </c>
      <c r="R40" s="95">
        <v>0</v>
      </c>
      <c r="S40" s="95" t="e">
        <v>#REF!</v>
      </c>
      <c r="T40" s="95" t="e">
        <v>#REF!</v>
      </c>
      <c r="U40" s="95" t="s">
        <v>166</v>
      </c>
      <c r="V40" s="95" t="s">
        <v>166</v>
      </c>
      <c r="W40" s="95" t="s">
        <v>166</v>
      </c>
      <c r="X40" s="95" t="s">
        <v>166</v>
      </c>
      <c r="Y40" s="95" t="s">
        <v>166</v>
      </c>
      <c r="Z40" s="95" t="s">
        <v>166</v>
      </c>
      <c r="AA40" s="95" t="s">
        <v>166</v>
      </c>
      <c r="AB40" s="95" t="s">
        <v>166</v>
      </c>
      <c r="AC40" s="95" t="s">
        <v>166</v>
      </c>
      <c r="AD40" s="95" t="s">
        <v>166</v>
      </c>
      <c r="AE40" s="95" t="s">
        <v>166</v>
      </c>
      <c r="AF40" s="95" t="s">
        <v>166</v>
      </c>
      <c r="AG40" s="95">
        <v>0</v>
      </c>
      <c r="AH40" s="95">
        <v>0</v>
      </c>
      <c r="AI40" s="95">
        <v>0</v>
      </c>
      <c r="AJ40" s="95">
        <v>0</v>
      </c>
      <c r="AK40" s="95">
        <v>0</v>
      </c>
      <c r="AL40" s="95">
        <v>0</v>
      </c>
      <c r="AM40" s="95">
        <v>0</v>
      </c>
      <c r="AN40" s="95">
        <v>0</v>
      </c>
      <c r="AO40" s="95">
        <v>0</v>
      </c>
      <c r="AP40" s="95">
        <v>0</v>
      </c>
      <c r="AQ40" s="95">
        <v>0</v>
      </c>
      <c r="AR40" s="95">
        <v>0</v>
      </c>
      <c r="AS40" s="95">
        <v>0</v>
      </c>
      <c r="AT40" s="95">
        <v>0</v>
      </c>
      <c r="AU40" s="95">
        <v>0</v>
      </c>
      <c r="AV40" s="95">
        <v>0</v>
      </c>
      <c r="AW40" s="95">
        <v>0</v>
      </c>
      <c r="AX40" s="95">
        <v>0</v>
      </c>
      <c r="AY40" s="95">
        <v>0</v>
      </c>
      <c r="AZ40" s="95">
        <v>0</v>
      </c>
      <c r="BA40" s="95">
        <v>0</v>
      </c>
      <c r="BB40" s="95">
        <v>0</v>
      </c>
      <c r="BC40" s="95">
        <v>0</v>
      </c>
      <c r="BD40" s="95">
        <v>0</v>
      </c>
      <c r="BE40" s="95">
        <v>0</v>
      </c>
      <c r="BF40" s="95">
        <v>0</v>
      </c>
      <c r="BG40" s="95">
        <v>0</v>
      </c>
      <c r="BH40" s="95">
        <v>0</v>
      </c>
      <c r="BI40" s="95">
        <v>0</v>
      </c>
      <c r="BJ40" s="95">
        <v>0</v>
      </c>
      <c r="BK40" s="95">
        <v>0</v>
      </c>
      <c r="BL40" s="95">
        <v>0</v>
      </c>
      <c r="BM40" s="95">
        <v>0</v>
      </c>
      <c r="BN40" s="95">
        <v>0</v>
      </c>
      <c r="BO40" s="95">
        <v>0</v>
      </c>
      <c r="BP40" s="95">
        <v>0</v>
      </c>
      <c r="BQ40" s="95">
        <v>0</v>
      </c>
      <c r="BR40" s="95">
        <v>0</v>
      </c>
      <c r="BS40" s="95">
        <v>0</v>
      </c>
      <c r="BT40" s="95">
        <v>0</v>
      </c>
      <c r="BU40" s="95">
        <v>0</v>
      </c>
      <c r="BV40" s="95">
        <v>0</v>
      </c>
      <c r="BW40" s="95">
        <v>0</v>
      </c>
      <c r="BX40" s="95">
        <v>0</v>
      </c>
      <c r="BY40" s="95">
        <v>0</v>
      </c>
      <c r="BZ40" s="95">
        <v>0</v>
      </c>
      <c r="CA40" s="95">
        <v>0</v>
      </c>
      <c r="CB40" s="95">
        <v>0</v>
      </c>
      <c r="CC40" s="95">
        <v>0</v>
      </c>
      <c r="CD40" s="95">
        <v>0</v>
      </c>
      <c r="CE40" s="95">
        <v>0</v>
      </c>
      <c r="CF40" s="95">
        <v>0</v>
      </c>
      <c r="CG40" s="97">
        <v>0.1</v>
      </c>
      <c r="CH40" s="97">
        <v>0.1</v>
      </c>
      <c r="CI40" s="97">
        <v>0.1</v>
      </c>
      <c r="CJ40" s="97">
        <v>0.1</v>
      </c>
      <c r="CK40" s="97">
        <v>0.05</v>
      </c>
      <c r="CL40" s="97">
        <v>0.05</v>
      </c>
      <c r="CM40" s="97">
        <v>0.05</v>
      </c>
      <c r="CN40" s="97">
        <v>0.05</v>
      </c>
      <c r="CO40" s="97">
        <v>0.05</v>
      </c>
      <c r="CP40" s="97">
        <v>0</v>
      </c>
      <c r="CQ40" s="97">
        <v>0.2</v>
      </c>
      <c r="CR40" s="97">
        <v>0.25</v>
      </c>
      <c r="CS40" s="97">
        <v>0.1</v>
      </c>
      <c r="CT40" s="97">
        <v>0.2</v>
      </c>
      <c r="CU40" s="97">
        <v>0</v>
      </c>
      <c r="CV40" s="97">
        <v>1</v>
      </c>
    </row>
    <row r="41" spans="1:100" x14ac:dyDescent="0.2">
      <c r="A41" s="14"/>
      <c r="B41" s="14"/>
      <c r="C41" s="14"/>
      <c r="D41" s="14"/>
      <c r="E41" s="14"/>
      <c r="F41" s="14"/>
      <c r="G41" s="14"/>
      <c r="H41" s="14"/>
      <c r="I41" s="14"/>
      <c r="J41" s="14"/>
      <c r="K41" s="86"/>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91"/>
      <c r="CH41" s="91"/>
      <c r="CI41" s="91"/>
      <c r="CJ41" s="91"/>
      <c r="CK41" s="91"/>
      <c r="CL41" s="91"/>
      <c r="CM41" s="91"/>
      <c r="CN41" s="91"/>
      <c r="CO41" s="91"/>
      <c r="CP41" s="91"/>
      <c r="CQ41" s="91"/>
      <c r="CR41" s="91"/>
      <c r="CS41" s="91"/>
      <c r="CT41" s="91"/>
      <c r="CU41" s="91"/>
      <c r="CV41" s="91"/>
    </row>
    <row r="42" spans="1:100" x14ac:dyDescent="0.2">
      <c r="A42" s="14"/>
      <c r="B42" s="14"/>
      <c r="C42" s="14"/>
      <c r="D42" s="14"/>
      <c r="E42" s="14"/>
      <c r="F42" s="14"/>
      <c r="G42" s="14"/>
      <c r="H42" s="14"/>
      <c r="I42" s="14"/>
      <c r="J42" s="14"/>
      <c r="K42" s="86"/>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91"/>
      <c r="CH42" s="91"/>
      <c r="CI42" s="91"/>
      <c r="CJ42" s="91"/>
      <c r="CK42" s="91"/>
      <c r="CL42" s="91"/>
      <c r="CM42" s="91"/>
      <c r="CN42" s="91"/>
      <c r="CO42" s="91"/>
      <c r="CP42" s="91"/>
      <c r="CQ42" s="91"/>
      <c r="CR42" s="91"/>
      <c r="CS42" s="91"/>
      <c r="CT42" s="91"/>
      <c r="CU42" s="91"/>
      <c r="CV42" s="91"/>
    </row>
    <row r="43" spans="1:100" x14ac:dyDescent="0.2">
      <c r="A43" s="14"/>
      <c r="B43" s="14"/>
      <c r="C43" s="14"/>
      <c r="D43" s="14"/>
      <c r="E43" s="14"/>
      <c r="F43" s="14"/>
      <c r="G43" s="14"/>
      <c r="H43" s="14"/>
      <c r="I43" s="14"/>
      <c r="J43" s="14"/>
      <c r="K43" s="86"/>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91"/>
      <c r="CH43" s="91"/>
      <c r="CI43" s="91"/>
      <c r="CJ43" s="91"/>
      <c r="CK43" s="91"/>
      <c r="CL43" s="91"/>
      <c r="CM43" s="91"/>
      <c r="CN43" s="91"/>
      <c r="CO43" s="91"/>
      <c r="CP43" s="91"/>
      <c r="CQ43" s="91"/>
      <c r="CR43" s="91"/>
      <c r="CS43" s="91"/>
      <c r="CT43" s="91"/>
      <c r="CU43" s="91"/>
      <c r="CV43" s="91"/>
    </row>
    <row r="44" spans="1:100" x14ac:dyDescent="0.2">
      <c r="A44" s="14"/>
      <c r="B44" s="14"/>
      <c r="C44" s="14"/>
      <c r="D44" s="14"/>
      <c r="E44" s="14"/>
      <c r="F44" s="14"/>
      <c r="G44" s="14"/>
      <c r="H44" s="14"/>
      <c r="I44" s="14"/>
      <c r="J44" s="14"/>
      <c r="K44" s="86"/>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91"/>
      <c r="CH44" s="91"/>
      <c r="CI44" s="91"/>
      <c r="CJ44" s="91"/>
      <c r="CK44" s="91"/>
      <c r="CL44" s="91"/>
      <c r="CM44" s="91"/>
      <c r="CN44" s="91"/>
      <c r="CO44" s="91"/>
      <c r="CP44" s="91"/>
      <c r="CQ44" s="91"/>
      <c r="CR44" s="91"/>
      <c r="CS44" s="91"/>
      <c r="CT44" s="91"/>
      <c r="CU44" s="91"/>
      <c r="CV44" s="91"/>
    </row>
    <row r="45" spans="1:100" x14ac:dyDescent="0.2">
      <c r="A45" s="14"/>
      <c r="B45" s="14"/>
      <c r="C45" s="14"/>
      <c r="D45" s="14"/>
      <c r="E45" s="14"/>
      <c r="F45" s="14"/>
      <c r="G45" s="14"/>
      <c r="H45" s="14"/>
      <c r="I45" s="14"/>
      <c r="J45" s="14"/>
      <c r="K45" s="86"/>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91"/>
      <c r="CH45" s="91"/>
      <c r="CI45" s="91"/>
      <c r="CJ45" s="91"/>
      <c r="CK45" s="91"/>
      <c r="CL45" s="91"/>
      <c r="CM45" s="91"/>
      <c r="CN45" s="91"/>
      <c r="CO45" s="91"/>
      <c r="CP45" s="91"/>
      <c r="CQ45" s="91"/>
      <c r="CR45" s="91"/>
      <c r="CS45" s="91"/>
      <c r="CT45" s="91"/>
      <c r="CU45" s="91"/>
      <c r="CV45" s="91"/>
    </row>
    <row r="46" spans="1:100" x14ac:dyDescent="0.2">
      <c r="A46" s="14"/>
      <c r="B46" s="14"/>
      <c r="C46" s="14"/>
      <c r="D46" s="14"/>
      <c r="E46" s="14"/>
      <c r="F46" s="14"/>
      <c r="G46" s="14"/>
      <c r="H46" s="14"/>
      <c r="I46" s="14"/>
      <c r="J46" s="14"/>
      <c r="K46" s="86"/>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91"/>
      <c r="CH46" s="91"/>
      <c r="CI46" s="91"/>
      <c r="CJ46" s="91"/>
      <c r="CK46" s="91"/>
      <c r="CL46" s="91"/>
      <c r="CM46" s="91"/>
      <c r="CN46" s="91"/>
      <c r="CO46" s="91"/>
      <c r="CP46" s="91"/>
      <c r="CQ46" s="91"/>
      <c r="CR46" s="91"/>
      <c r="CS46" s="91"/>
      <c r="CT46" s="91"/>
      <c r="CU46" s="91"/>
      <c r="CV46" s="91"/>
    </row>
    <row r="47" spans="1:100" x14ac:dyDescent="0.2">
      <c r="A47" s="14"/>
      <c r="B47" s="14"/>
      <c r="C47" s="14"/>
      <c r="D47" s="14"/>
      <c r="E47" s="14"/>
      <c r="F47" s="14"/>
      <c r="G47" s="14"/>
      <c r="H47" s="14"/>
      <c r="I47" s="14"/>
      <c r="J47" s="14"/>
      <c r="K47" s="86"/>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91"/>
      <c r="CH47" s="91"/>
      <c r="CI47" s="91"/>
      <c r="CJ47" s="91"/>
      <c r="CK47" s="91"/>
      <c r="CL47" s="91"/>
      <c r="CM47" s="91"/>
      <c r="CN47" s="91"/>
      <c r="CO47" s="91"/>
      <c r="CP47" s="91"/>
      <c r="CQ47" s="91"/>
      <c r="CR47" s="91"/>
      <c r="CS47" s="91"/>
      <c r="CT47" s="91"/>
      <c r="CU47" s="91"/>
      <c r="CV47" s="91"/>
    </row>
    <row r="48" spans="1:100" x14ac:dyDescent="0.2">
      <c r="A48" s="14"/>
      <c r="B48" s="14"/>
      <c r="C48" s="14"/>
      <c r="D48" s="14"/>
      <c r="E48" s="14"/>
      <c r="F48" s="14"/>
      <c r="G48" s="14"/>
      <c r="H48" s="14"/>
      <c r="I48" s="14"/>
      <c r="J48" s="14"/>
      <c r="K48" s="86"/>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91"/>
      <c r="CH48" s="91"/>
      <c r="CI48" s="91"/>
      <c r="CJ48" s="91"/>
      <c r="CK48" s="91"/>
      <c r="CL48" s="91"/>
      <c r="CM48" s="91"/>
      <c r="CN48" s="91"/>
      <c r="CO48" s="91"/>
      <c r="CP48" s="91"/>
      <c r="CQ48" s="91"/>
      <c r="CR48" s="91"/>
      <c r="CS48" s="91"/>
      <c r="CT48" s="91"/>
      <c r="CU48" s="91"/>
      <c r="CV48" s="91"/>
    </row>
    <row r="49" spans="1:100" x14ac:dyDescent="0.2">
      <c r="A49" s="14"/>
      <c r="B49" s="14"/>
      <c r="C49" s="14"/>
      <c r="D49" s="14"/>
      <c r="E49" s="14"/>
      <c r="F49" s="14"/>
      <c r="G49" s="14"/>
      <c r="H49" s="14"/>
      <c r="I49" s="14"/>
      <c r="J49" s="14"/>
      <c r="K49" s="86"/>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91"/>
      <c r="CH49" s="91"/>
      <c r="CI49" s="91"/>
      <c r="CJ49" s="91"/>
      <c r="CK49" s="91"/>
      <c r="CL49" s="91"/>
      <c r="CM49" s="91"/>
      <c r="CN49" s="91"/>
      <c r="CO49" s="91"/>
      <c r="CP49" s="91"/>
      <c r="CQ49" s="91"/>
      <c r="CR49" s="91"/>
      <c r="CS49" s="91"/>
      <c r="CT49" s="91"/>
      <c r="CU49" s="91"/>
      <c r="CV49" s="91"/>
    </row>
    <row r="50" spans="1:100" x14ac:dyDescent="0.2">
      <c r="A50" s="14"/>
      <c r="B50" s="14"/>
      <c r="C50" s="14"/>
      <c r="D50" s="14"/>
      <c r="E50" s="14"/>
      <c r="F50" s="14"/>
      <c r="G50" s="14"/>
      <c r="H50" s="14"/>
      <c r="I50" s="14"/>
      <c r="J50" s="14"/>
      <c r="K50" s="86"/>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91"/>
      <c r="CH50" s="91"/>
      <c r="CI50" s="91"/>
      <c r="CJ50" s="91"/>
      <c r="CK50" s="91"/>
      <c r="CL50" s="91"/>
      <c r="CM50" s="91"/>
      <c r="CN50" s="91"/>
      <c r="CO50" s="91"/>
      <c r="CP50" s="91"/>
      <c r="CQ50" s="91"/>
      <c r="CR50" s="91"/>
      <c r="CS50" s="91"/>
      <c r="CT50" s="91"/>
      <c r="CU50" s="91"/>
      <c r="CV50" s="91"/>
    </row>
    <row r="51" spans="1:100" x14ac:dyDescent="0.2">
      <c r="A51" s="14"/>
      <c r="B51" s="14"/>
      <c r="C51" s="14"/>
      <c r="D51" s="14"/>
      <c r="E51" s="14"/>
      <c r="F51" s="14"/>
      <c r="G51" s="14"/>
      <c r="H51" s="14"/>
      <c r="I51" s="14"/>
      <c r="J51" s="14"/>
      <c r="K51" s="86"/>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91"/>
      <c r="CH51" s="91"/>
      <c r="CI51" s="91"/>
      <c r="CJ51" s="91"/>
      <c r="CK51" s="91"/>
      <c r="CL51" s="91"/>
      <c r="CM51" s="91"/>
      <c r="CN51" s="91"/>
      <c r="CO51" s="91"/>
      <c r="CP51" s="91"/>
      <c r="CQ51" s="91"/>
      <c r="CR51" s="91"/>
      <c r="CS51" s="91"/>
      <c r="CT51" s="91"/>
      <c r="CU51" s="91"/>
      <c r="CV51" s="91"/>
    </row>
    <row r="52" spans="1:100" x14ac:dyDescent="0.2">
      <c r="A52" s="14"/>
      <c r="B52" s="14"/>
      <c r="C52" s="14"/>
      <c r="D52" s="14"/>
      <c r="E52" s="14"/>
      <c r="F52" s="14"/>
      <c r="G52" s="14"/>
      <c r="H52" s="14"/>
      <c r="I52" s="14"/>
      <c r="J52" s="14"/>
      <c r="K52" s="86"/>
      <c r="L52" s="14"/>
      <c r="M52" s="14"/>
      <c r="N52" s="14"/>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91"/>
      <c r="CH52" s="91"/>
      <c r="CI52" s="91"/>
      <c r="CJ52" s="91"/>
      <c r="CK52" s="91"/>
      <c r="CL52" s="91"/>
      <c r="CM52" s="91"/>
      <c r="CN52" s="91"/>
      <c r="CO52" s="91"/>
      <c r="CP52" s="91"/>
      <c r="CQ52" s="91"/>
      <c r="CR52" s="91"/>
      <c r="CS52" s="91"/>
      <c r="CT52" s="91"/>
      <c r="CU52" s="91"/>
      <c r="CV52" s="91"/>
    </row>
    <row r="53" spans="1:100" x14ac:dyDescent="0.2">
      <c r="A53" s="14"/>
      <c r="B53" s="14"/>
      <c r="C53" s="14"/>
      <c r="D53" s="14"/>
      <c r="E53" s="14"/>
      <c r="F53" s="14"/>
      <c r="G53" s="14"/>
      <c r="H53" s="14"/>
      <c r="I53" s="14"/>
      <c r="J53" s="14"/>
      <c r="K53" s="86"/>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91"/>
      <c r="CH53" s="91"/>
      <c r="CI53" s="91"/>
      <c r="CJ53" s="91"/>
      <c r="CK53" s="91"/>
      <c r="CL53" s="91"/>
      <c r="CM53" s="91"/>
      <c r="CN53" s="91"/>
      <c r="CO53" s="91"/>
      <c r="CP53" s="91"/>
      <c r="CQ53" s="91"/>
      <c r="CR53" s="91"/>
      <c r="CS53" s="91"/>
      <c r="CT53" s="91"/>
      <c r="CU53" s="91"/>
      <c r="CV53" s="91"/>
    </row>
    <row r="54" spans="1:100" x14ac:dyDescent="0.2">
      <c r="A54" s="14"/>
      <c r="B54" s="14"/>
      <c r="C54" s="14"/>
      <c r="D54" s="14"/>
      <c r="E54" s="14"/>
      <c r="F54" s="14"/>
      <c r="G54" s="14"/>
      <c r="H54" s="14"/>
      <c r="I54" s="14"/>
      <c r="J54" s="14"/>
      <c r="K54" s="86"/>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91"/>
      <c r="CH54" s="91"/>
      <c r="CI54" s="91"/>
      <c r="CJ54" s="91"/>
      <c r="CK54" s="91"/>
      <c r="CL54" s="91"/>
      <c r="CM54" s="91"/>
      <c r="CN54" s="91"/>
      <c r="CO54" s="91"/>
      <c r="CP54" s="91"/>
      <c r="CQ54" s="91"/>
      <c r="CR54" s="91"/>
      <c r="CS54" s="91"/>
      <c r="CT54" s="91"/>
      <c r="CU54" s="91"/>
      <c r="CV54" s="91"/>
    </row>
    <row r="55" spans="1:100" x14ac:dyDescent="0.2">
      <c r="A55" s="14"/>
      <c r="B55" s="14"/>
      <c r="C55" s="14"/>
      <c r="D55" s="14"/>
      <c r="E55" s="14"/>
      <c r="F55" s="14"/>
      <c r="G55" s="14"/>
      <c r="H55" s="14"/>
      <c r="I55" s="14"/>
      <c r="J55" s="14"/>
      <c r="K55" s="86"/>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91"/>
      <c r="CH55" s="91"/>
      <c r="CI55" s="91"/>
      <c r="CJ55" s="91"/>
      <c r="CK55" s="91"/>
      <c r="CL55" s="91"/>
      <c r="CM55" s="91"/>
      <c r="CN55" s="91"/>
      <c r="CO55" s="91"/>
      <c r="CP55" s="91"/>
      <c r="CQ55" s="91"/>
      <c r="CR55" s="91"/>
      <c r="CS55" s="91"/>
      <c r="CT55" s="91"/>
      <c r="CU55" s="91"/>
      <c r="CV55" s="91"/>
    </row>
    <row r="56" spans="1:100" x14ac:dyDescent="0.2">
      <c r="A56" s="14"/>
      <c r="B56" s="14"/>
      <c r="C56" s="14"/>
      <c r="D56" s="14"/>
      <c r="E56" s="14"/>
      <c r="F56" s="14"/>
      <c r="G56" s="14"/>
      <c r="H56" s="14"/>
      <c r="I56" s="14"/>
      <c r="J56" s="14"/>
      <c r="K56" s="86"/>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91"/>
      <c r="CH56" s="91"/>
      <c r="CI56" s="91"/>
      <c r="CJ56" s="91"/>
      <c r="CK56" s="91"/>
      <c r="CL56" s="91"/>
      <c r="CM56" s="91"/>
      <c r="CN56" s="91"/>
      <c r="CO56" s="91"/>
      <c r="CP56" s="91"/>
      <c r="CQ56" s="91"/>
      <c r="CR56" s="91"/>
      <c r="CS56" s="91"/>
      <c r="CT56" s="91"/>
      <c r="CU56" s="91"/>
      <c r="CV56" s="91"/>
    </row>
    <row r="57" spans="1:100" x14ac:dyDescent="0.2">
      <c r="A57" s="14"/>
      <c r="B57" s="14"/>
      <c r="C57" s="14"/>
      <c r="D57" s="14"/>
      <c r="E57" s="14"/>
      <c r="F57" s="14"/>
      <c r="G57" s="14"/>
      <c r="H57" s="14"/>
      <c r="I57" s="14"/>
      <c r="J57" s="14"/>
      <c r="K57" s="86"/>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91"/>
      <c r="CH57" s="91"/>
      <c r="CI57" s="91"/>
      <c r="CJ57" s="91"/>
      <c r="CK57" s="91"/>
      <c r="CL57" s="91"/>
      <c r="CM57" s="91"/>
      <c r="CN57" s="91"/>
      <c r="CO57" s="91"/>
      <c r="CP57" s="91"/>
      <c r="CQ57" s="91"/>
      <c r="CR57" s="91"/>
      <c r="CS57" s="91"/>
      <c r="CT57" s="91"/>
      <c r="CU57" s="91"/>
      <c r="CV57" s="91"/>
    </row>
    <row r="58" spans="1:100" x14ac:dyDescent="0.2">
      <c r="A58" s="14"/>
      <c r="B58" s="14"/>
      <c r="C58" s="14"/>
      <c r="D58" s="14"/>
      <c r="E58" s="14"/>
      <c r="F58" s="14"/>
      <c r="G58" s="14"/>
      <c r="H58" s="14"/>
      <c r="I58" s="14"/>
      <c r="J58" s="14"/>
      <c r="K58" s="86"/>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91"/>
      <c r="CH58" s="91"/>
      <c r="CI58" s="91"/>
      <c r="CJ58" s="91"/>
      <c r="CK58" s="91"/>
      <c r="CL58" s="91"/>
      <c r="CM58" s="91"/>
      <c r="CN58" s="91"/>
      <c r="CO58" s="91"/>
      <c r="CP58" s="91"/>
      <c r="CQ58" s="91"/>
      <c r="CR58" s="91"/>
      <c r="CS58" s="91"/>
      <c r="CT58" s="91"/>
      <c r="CU58" s="91"/>
      <c r="CV58" s="91"/>
    </row>
    <row r="59" spans="1:100" x14ac:dyDescent="0.2">
      <c r="A59" s="14"/>
      <c r="B59" s="14"/>
      <c r="C59" s="14"/>
      <c r="D59" s="14"/>
      <c r="E59" s="14"/>
      <c r="F59" s="14"/>
      <c r="G59" s="14"/>
      <c r="H59" s="14"/>
      <c r="I59" s="14"/>
      <c r="J59" s="14"/>
      <c r="K59" s="86"/>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91"/>
      <c r="CH59" s="91"/>
      <c r="CI59" s="91"/>
      <c r="CJ59" s="91"/>
      <c r="CK59" s="91"/>
      <c r="CL59" s="91"/>
      <c r="CM59" s="91"/>
      <c r="CN59" s="91"/>
      <c r="CO59" s="91"/>
      <c r="CP59" s="91"/>
      <c r="CQ59" s="91"/>
      <c r="CR59" s="91"/>
      <c r="CS59" s="91"/>
      <c r="CT59" s="91"/>
      <c r="CU59" s="91"/>
      <c r="CV59" s="91"/>
    </row>
    <row r="60" spans="1:100" x14ac:dyDescent="0.2">
      <c r="A60" s="14"/>
      <c r="B60" s="14"/>
      <c r="C60" s="14"/>
      <c r="D60" s="14"/>
      <c r="E60" s="14"/>
      <c r="F60" s="14"/>
      <c r="G60" s="14"/>
      <c r="H60" s="14"/>
      <c r="I60" s="14"/>
      <c r="J60" s="14"/>
      <c r="K60" s="86"/>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91"/>
      <c r="CH60" s="91"/>
      <c r="CI60" s="91"/>
      <c r="CJ60" s="91"/>
      <c r="CK60" s="91"/>
      <c r="CL60" s="91"/>
      <c r="CM60" s="91"/>
      <c r="CN60" s="91"/>
      <c r="CO60" s="91"/>
      <c r="CP60" s="91"/>
      <c r="CQ60" s="91"/>
      <c r="CR60" s="91"/>
      <c r="CS60" s="91"/>
      <c r="CT60" s="91"/>
      <c r="CU60" s="91"/>
      <c r="CV60" s="91"/>
    </row>
    <row r="61" spans="1:100" x14ac:dyDescent="0.2">
      <c r="A61" s="14"/>
      <c r="B61" s="14"/>
      <c r="C61" s="14"/>
      <c r="D61" s="14"/>
      <c r="E61" s="14"/>
      <c r="F61" s="14"/>
      <c r="G61" s="14"/>
      <c r="H61" s="14"/>
      <c r="I61" s="14"/>
      <c r="J61" s="14"/>
      <c r="K61" s="86"/>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91"/>
      <c r="CH61" s="91"/>
      <c r="CI61" s="91"/>
      <c r="CJ61" s="91"/>
      <c r="CK61" s="91"/>
      <c r="CL61" s="91"/>
      <c r="CM61" s="91"/>
      <c r="CN61" s="91"/>
      <c r="CO61" s="91"/>
      <c r="CP61" s="91"/>
      <c r="CQ61" s="91"/>
      <c r="CR61" s="91"/>
      <c r="CS61" s="91"/>
      <c r="CT61" s="91"/>
      <c r="CU61" s="91"/>
      <c r="CV61" s="91"/>
    </row>
    <row r="62" spans="1:100" x14ac:dyDescent="0.2">
      <c r="A62" s="14"/>
      <c r="B62" s="14"/>
      <c r="C62" s="14"/>
      <c r="D62" s="14"/>
      <c r="E62" s="14"/>
      <c r="F62" s="14"/>
      <c r="G62" s="14"/>
      <c r="H62" s="14"/>
      <c r="I62" s="14"/>
      <c r="J62" s="14"/>
      <c r="K62" s="86"/>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91"/>
      <c r="CH62" s="91"/>
      <c r="CI62" s="91"/>
      <c r="CJ62" s="91"/>
      <c r="CK62" s="91"/>
      <c r="CL62" s="91"/>
      <c r="CM62" s="91"/>
      <c r="CN62" s="91"/>
      <c r="CO62" s="91"/>
      <c r="CP62" s="91"/>
      <c r="CQ62" s="91"/>
      <c r="CR62" s="91"/>
      <c r="CS62" s="91"/>
      <c r="CT62" s="91"/>
      <c r="CU62" s="91"/>
      <c r="CV62" s="91"/>
    </row>
    <row r="63" spans="1:100" x14ac:dyDescent="0.2">
      <c r="A63" s="14"/>
      <c r="B63" s="14"/>
      <c r="C63" s="14"/>
      <c r="D63" s="14"/>
      <c r="E63" s="14"/>
      <c r="F63" s="14"/>
      <c r="G63" s="14"/>
      <c r="H63" s="14"/>
      <c r="I63" s="14"/>
      <c r="J63" s="14"/>
      <c r="K63" s="86"/>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91"/>
      <c r="CH63" s="91"/>
      <c r="CI63" s="91"/>
      <c r="CJ63" s="91"/>
      <c r="CK63" s="91"/>
      <c r="CL63" s="91"/>
      <c r="CM63" s="91"/>
      <c r="CN63" s="91"/>
      <c r="CO63" s="91"/>
      <c r="CP63" s="91"/>
      <c r="CQ63" s="91"/>
      <c r="CR63" s="91"/>
      <c r="CS63" s="91"/>
      <c r="CT63" s="91"/>
      <c r="CU63" s="91"/>
      <c r="CV63" s="91"/>
    </row>
    <row r="64" spans="1:100" x14ac:dyDescent="0.2">
      <c r="A64" s="14"/>
      <c r="B64" s="14"/>
      <c r="C64" s="14"/>
      <c r="D64" s="14"/>
      <c r="E64" s="14"/>
      <c r="F64" s="14"/>
      <c r="G64" s="14"/>
      <c r="H64" s="14"/>
      <c r="I64" s="14"/>
      <c r="J64" s="14"/>
      <c r="K64" s="86"/>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91"/>
      <c r="CH64" s="91"/>
      <c r="CI64" s="91"/>
      <c r="CJ64" s="91"/>
      <c r="CK64" s="91"/>
      <c r="CL64" s="91"/>
      <c r="CM64" s="91"/>
      <c r="CN64" s="91"/>
      <c r="CO64" s="91"/>
      <c r="CP64" s="91"/>
      <c r="CQ64" s="91"/>
      <c r="CR64" s="91"/>
      <c r="CS64" s="91"/>
      <c r="CT64" s="91"/>
      <c r="CU64" s="91"/>
      <c r="CV64" s="91"/>
    </row>
    <row r="65" spans="1:100" x14ac:dyDescent="0.2">
      <c r="A65" s="14"/>
      <c r="B65" s="14"/>
      <c r="C65" s="14"/>
      <c r="D65" s="14"/>
      <c r="E65" s="14"/>
      <c r="F65" s="14"/>
      <c r="G65" s="14"/>
      <c r="H65" s="14"/>
      <c r="I65" s="14"/>
      <c r="J65" s="14"/>
      <c r="K65" s="86"/>
      <c r="L65" s="14"/>
      <c r="M65" s="14"/>
      <c r="N65" s="14"/>
      <c r="O65" s="14"/>
      <c r="P65" s="14"/>
      <c r="Q65" s="14"/>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91"/>
      <c r="CH65" s="91"/>
      <c r="CI65" s="91"/>
      <c r="CJ65" s="91"/>
      <c r="CK65" s="91"/>
      <c r="CL65" s="91"/>
      <c r="CM65" s="91"/>
      <c r="CN65" s="91"/>
      <c r="CO65" s="91"/>
      <c r="CP65" s="91"/>
      <c r="CQ65" s="91"/>
      <c r="CR65" s="91"/>
      <c r="CS65" s="91"/>
      <c r="CT65" s="91"/>
      <c r="CU65" s="91"/>
      <c r="CV65" s="91"/>
    </row>
    <row r="66" spans="1:100" x14ac:dyDescent="0.2">
      <c r="A66" s="14"/>
      <c r="B66" s="14"/>
      <c r="C66" s="14"/>
      <c r="D66" s="14"/>
      <c r="E66" s="14"/>
      <c r="F66" s="14"/>
      <c r="G66" s="14"/>
      <c r="H66" s="14"/>
      <c r="I66" s="14"/>
      <c r="J66" s="14"/>
      <c r="K66" s="86"/>
      <c r="L66" s="14"/>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c r="BW66" s="14"/>
      <c r="BX66" s="14"/>
      <c r="BY66" s="14"/>
      <c r="BZ66" s="14"/>
      <c r="CA66" s="14"/>
      <c r="CB66" s="14"/>
      <c r="CC66" s="14"/>
      <c r="CD66" s="14"/>
      <c r="CE66" s="14"/>
      <c r="CF66" s="14"/>
      <c r="CG66" s="91"/>
      <c r="CH66" s="91"/>
      <c r="CI66" s="91"/>
      <c r="CJ66" s="91"/>
      <c r="CK66" s="91"/>
      <c r="CL66" s="91"/>
      <c r="CM66" s="91"/>
      <c r="CN66" s="91"/>
      <c r="CO66" s="91"/>
      <c r="CP66" s="91"/>
      <c r="CQ66" s="91"/>
      <c r="CR66" s="91"/>
      <c r="CS66" s="91"/>
      <c r="CT66" s="91"/>
      <c r="CU66" s="91"/>
      <c r="CV66" s="91"/>
    </row>
    <row r="67" spans="1:100" x14ac:dyDescent="0.2">
      <c r="A67" s="14"/>
      <c r="B67" s="14"/>
      <c r="C67" s="14"/>
      <c r="D67" s="14"/>
      <c r="E67" s="14"/>
      <c r="F67" s="14"/>
      <c r="G67" s="14"/>
      <c r="H67" s="14"/>
      <c r="I67" s="14"/>
      <c r="J67" s="14"/>
      <c r="K67" s="86"/>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91"/>
      <c r="CH67" s="91"/>
      <c r="CI67" s="91"/>
      <c r="CJ67" s="91"/>
      <c r="CK67" s="91"/>
      <c r="CL67" s="91"/>
      <c r="CM67" s="91"/>
      <c r="CN67" s="91"/>
      <c r="CO67" s="91"/>
      <c r="CP67" s="91"/>
      <c r="CQ67" s="91"/>
      <c r="CR67" s="91"/>
      <c r="CS67" s="91"/>
      <c r="CT67" s="91"/>
      <c r="CU67" s="91"/>
      <c r="CV67" s="91"/>
    </row>
    <row r="68" spans="1:100" x14ac:dyDescent="0.2">
      <c r="A68" s="14"/>
      <c r="B68" s="14"/>
      <c r="C68" s="14"/>
      <c r="D68" s="14"/>
      <c r="E68" s="14"/>
      <c r="F68" s="14"/>
      <c r="G68" s="14"/>
      <c r="H68" s="14"/>
      <c r="I68" s="14"/>
      <c r="J68" s="14"/>
      <c r="K68" s="86"/>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91"/>
      <c r="CH68" s="91"/>
      <c r="CI68" s="91"/>
      <c r="CJ68" s="91"/>
      <c r="CK68" s="91"/>
      <c r="CL68" s="91"/>
      <c r="CM68" s="91"/>
      <c r="CN68" s="91"/>
      <c r="CO68" s="91"/>
      <c r="CP68" s="91"/>
      <c r="CQ68" s="91"/>
      <c r="CR68" s="91"/>
      <c r="CS68" s="91"/>
      <c r="CT68" s="91"/>
      <c r="CU68" s="91"/>
      <c r="CV68" s="91"/>
    </row>
    <row r="69" spans="1:100" x14ac:dyDescent="0.2">
      <c r="A69" s="14"/>
      <c r="B69" s="14"/>
      <c r="C69" s="14"/>
      <c r="D69" s="14"/>
      <c r="E69" s="14"/>
      <c r="F69" s="14"/>
      <c r="G69" s="14"/>
      <c r="H69" s="14"/>
      <c r="I69" s="14"/>
      <c r="J69" s="14"/>
      <c r="K69" s="86"/>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91"/>
      <c r="CH69" s="91"/>
      <c r="CI69" s="91"/>
      <c r="CJ69" s="91"/>
      <c r="CK69" s="91"/>
      <c r="CL69" s="91"/>
      <c r="CM69" s="91"/>
      <c r="CN69" s="91"/>
      <c r="CO69" s="91"/>
      <c r="CP69" s="91"/>
      <c r="CQ69" s="91"/>
      <c r="CR69" s="91"/>
      <c r="CS69" s="91"/>
      <c r="CT69" s="91"/>
      <c r="CU69" s="91"/>
      <c r="CV69" s="91"/>
    </row>
    <row r="70" spans="1:100" x14ac:dyDescent="0.2">
      <c r="A70" s="14"/>
      <c r="B70" s="14"/>
      <c r="C70" s="14"/>
      <c r="D70" s="14"/>
      <c r="E70" s="14"/>
      <c r="F70" s="14"/>
      <c r="G70" s="14"/>
      <c r="H70" s="14"/>
      <c r="I70" s="14"/>
      <c r="J70" s="14"/>
      <c r="K70" s="86"/>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91"/>
      <c r="CH70" s="91"/>
      <c r="CI70" s="91"/>
      <c r="CJ70" s="91"/>
      <c r="CK70" s="91"/>
      <c r="CL70" s="91"/>
      <c r="CM70" s="91"/>
      <c r="CN70" s="91"/>
      <c r="CO70" s="91"/>
      <c r="CP70" s="91"/>
      <c r="CQ70" s="91"/>
      <c r="CR70" s="91"/>
      <c r="CS70" s="91"/>
      <c r="CT70" s="91"/>
      <c r="CU70" s="91"/>
      <c r="CV70" s="91"/>
    </row>
    <row r="71" spans="1:100" x14ac:dyDescent="0.2">
      <c r="A71" s="14"/>
      <c r="B71" s="14"/>
      <c r="C71" s="14"/>
      <c r="D71" s="14"/>
      <c r="E71" s="14"/>
      <c r="F71" s="14"/>
      <c r="G71" s="14"/>
      <c r="H71" s="14"/>
      <c r="I71" s="14"/>
      <c r="J71" s="14"/>
      <c r="K71" s="86"/>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91"/>
      <c r="CH71" s="91"/>
      <c r="CI71" s="91"/>
      <c r="CJ71" s="91"/>
      <c r="CK71" s="91"/>
      <c r="CL71" s="91"/>
      <c r="CM71" s="91"/>
      <c r="CN71" s="91"/>
      <c r="CO71" s="91"/>
      <c r="CP71" s="91"/>
      <c r="CQ71" s="91"/>
      <c r="CR71" s="91"/>
      <c r="CS71" s="91"/>
      <c r="CT71" s="91"/>
      <c r="CU71" s="91"/>
      <c r="CV71" s="91"/>
    </row>
    <row r="72" spans="1:100" x14ac:dyDescent="0.2">
      <c r="A72" s="14"/>
      <c r="B72" s="14"/>
      <c r="C72" s="14"/>
      <c r="D72" s="14"/>
      <c r="E72" s="14"/>
      <c r="F72" s="14"/>
      <c r="G72" s="14"/>
      <c r="H72" s="14"/>
      <c r="I72" s="14"/>
      <c r="J72" s="14"/>
      <c r="K72" s="86"/>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91"/>
      <c r="CH72" s="91"/>
      <c r="CI72" s="91"/>
      <c r="CJ72" s="91"/>
      <c r="CK72" s="91"/>
      <c r="CL72" s="91"/>
      <c r="CM72" s="91"/>
      <c r="CN72" s="91"/>
      <c r="CO72" s="91"/>
      <c r="CP72" s="91"/>
      <c r="CQ72" s="91"/>
      <c r="CR72" s="91"/>
      <c r="CS72" s="91"/>
      <c r="CT72" s="91"/>
      <c r="CU72" s="91"/>
      <c r="CV72" s="91"/>
    </row>
    <row r="73" spans="1:100" x14ac:dyDescent="0.2">
      <c r="A73" s="14"/>
      <c r="B73" s="14"/>
      <c r="C73" s="14"/>
      <c r="D73" s="14"/>
      <c r="E73" s="14"/>
      <c r="F73" s="14"/>
      <c r="G73" s="14"/>
      <c r="H73" s="14"/>
      <c r="I73" s="14"/>
      <c r="J73" s="14"/>
      <c r="K73" s="86"/>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91"/>
      <c r="CH73" s="91"/>
      <c r="CI73" s="91"/>
      <c r="CJ73" s="91"/>
      <c r="CK73" s="91"/>
      <c r="CL73" s="91"/>
      <c r="CM73" s="91"/>
      <c r="CN73" s="91"/>
      <c r="CO73" s="91"/>
      <c r="CP73" s="91"/>
      <c r="CQ73" s="91"/>
      <c r="CR73" s="91"/>
      <c r="CS73" s="91"/>
      <c r="CT73" s="91"/>
      <c r="CU73" s="91"/>
      <c r="CV73" s="91"/>
    </row>
    <row r="74" spans="1:100" x14ac:dyDescent="0.2">
      <c r="A74" s="14"/>
      <c r="B74" s="14"/>
      <c r="C74" s="14"/>
      <c r="D74" s="14"/>
      <c r="E74" s="14"/>
      <c r="F74" s="14"/>
      <c r="G74" s="14"/>
      <c r="H74" s="14"/>
      <c r="I74" s="14"/>
      <c r="J74" s="14"/>
      <c r="K74" s="86"/>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91"/>
      <c r="CH74" s="91"/>
      <c r="CI74" s="91"/>
      <c r="CJ74" s="91"/>
      <c r="CK74" s="91"/>
      <c r="CL74" s="91"/>
      <c r="CM74" s="91"/>
      <c r="CN74" s="91"/>
      <c r="CO74" s="91"/>
      <c r="CP74" s="91"/>
      <c r="CQ74" s="91"/>
      <c r="CR74" s="91"/>
      <c r="CS74" s="91"/>
      <c r="CT74" s="91"/>
      <c r="CU74" s="91"/>
      <c r="CV74" s="91"/>
    </row>
    <row r="75" spans="1:100" x14ac:dyDescent="0.2">
      <c r="A75" s="14"/>
      <c r="B75" s="14"/>
      <c r="C75" s="14"/>
      <c r="D75" s="14"/>
      <c r="E75" s="14"/>
      <c r="F75" s="14"/>
      <c r="G75" s="14"/>
      <c r="H75" s="14"/>
      <c r="I75" s="14"/>
      <c r="J75" s="14"/>
      <c r="K75" s="86"/>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91"/>
      <c r="CH75" s="91"/>
      <c r="CI75" s="91"/>
      <c r="CJ75" s="91"/>
      <c r="CK75" s="91"/>
      <c r="CL75" s="91"/>
      <c r="CM75" s="91"/>
      <c r="CN75" s="91"/>
      <c r="CO75" s="91"/>
      <c r="CP75" s="91"/>
      <c r="CQ75" s="91"/>
      <c r="CR75" s="91"/>
      <c r="CS75" s="91"/>
      <c r="CT75" s="91"/>
      <c r="CU75" s="91"/>
      <c r="CV75" s="91"/>
    </row>
    <row r="76" spans="1:100" x14ac:dyDescent="0.2">
      <c r="A76" s="14"/>
      <c r="B76" s="14"/>
      <c r="C76" s="14"/>
      <c r="D76" s="14"/>
      <c r="E76" s="14"/>
      <c r="F76" s="14"/>
      <c r="G76" s="14"/>
      <c r="H76" s="14"/>
      <c r="I76" s="14"/>
      <c r="J76" s="14"/>
      <c r="K76" s="86"/>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91"/>
      <c r="CH76" s="91"/>
      <c r="CI76" s="91"/>
      <c r="CJ76" s="91"/>
      <c r="CK76" s="91"/>
      <c r="CL76" s="91"/>
      <c r="CM76" s="91"/>
      <c r="CN76" s="91"/>
      <c r="CO76" s="91"/>
      <c r="CP76" s="91"/>
      <c r="CQ76" s="91"/>
      <c r="CR76" s="91"/>
      <c r="CS76" s="91"/>
      <c r="CT76" s="91"/>
      <c r="CU76" s="91"/>
      <c r="CV76" s="91"/>
    </row>
    <row r="77" spans="1:100" x14ac:dyDescent="0.2">
      <c r="A77" s="14"/>
      <c r="B77" s="14"/>
      <c r="C77" s="14"/>
      <c r="D77" s="14"/>
      <c r="E77" s="14"/>
      <c r="F77" s="14"/>
      <c r="G77" s="14"/>
      <c r="H77" s="14"/>
      <c r="I77" s="14"/>
      <c r="J77" s="14"/>
      <c r="K77" s="86"/>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91"/>
      <c r="CH77" s="91"/>
      <c r="CI77" s="91"/>
      <c r="CJ77" s="91"/>
      <c r="CK77" s="91"/>
      <c r="CL77" s="91"/>
      <c r="CM77" s="91"/>
      <c r="CN77" s="91"/>
      <c r="CO77" s="91"/>
      <c r="CP77" s="91"/>
      <c r="CQ77" s="91"/>
      <c r="CR77" s="91"/>
      <c r="CS77" s="91"/>
      <c r="CT77" s="91"/>
      <c r="CU77" s="91"/>
      <c r="CV77" s="91"/>
    </row>
    <row r="78" spans="1:100" x14ac:dyDescent="0.2">
      <c r="A78" s="14"/>
      <c r="B78" s="14"/>
      <c r="C78" s="14"/>
      <c r="D78" s="14"/>
      <c r="E78" s="14"/>
      <c r="F78" s="14"/>
      <c r="G78" s="14"/>
      <c r="H78" s="14"/>
      <c r="I78" s="14"/>
      <c r="J78" s="14"/>
      <c r="K78" s="86"/>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91"/>
      <c r="CH78" s="91"/>
      <c r="CI78" s="91"/>
      <c r="CJ78" s="91"/>
      <c r="CK78" s="91"/>
      <c r="CL78" s="91"/>
      <c r="CM78" s="91"/>
      <c r="CN78" s="91"/>
      <c r="CO78" s="91"/>
      <c r="CP78" s="91"/>
      <c r="CQ78" s="91"/>
      <c r="CR78" s="91"/>
      <c r="CS78" s="91"/>
      <c r="CT78" s="91"/>
      <c r="CU78" s="91"/>
      <c r="CV78" s="91"/>
    </row>
    <row r="79" spans="1:100" x14ac:dyDescent="0.2">
      <c r="A79" s="14"/>
      <c r="B79" s="14"/>
      <c r="C79" s="14"/>
      <c r="D79" s="14"/>
      <c r="E79" s="14"/>
      <c r="F79" s="14"/>
      <c r="G79" s="14"/>
      <c r="H79" s="14"/>
      <c r="I79" s="14"/>
      <c r="J79" s="14"/>
      <c r="K79" s="86"/>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91"/>
      <c r="CH79" s="91"/>
      <c r="CI79" s="91"/>
      <c r="CJ79" s="91"/>
      <c r="CK79" s="91"/>
      <c r="CL79" s="91"/>
      <c r="CM79" s="91"/>
      <c r="CN79" s="91"/>
      <c r="CO79" s="91"/>
      <c r="CP79" s="91"/>
      <c r="CQ79" s="91"/>
      <c r="CR79" s="91"/>
      <c r="CS79" s="91"/>
      <c r="CT79" s="91"/>
      <c r="CU79" s="91"/>
      <c r="CV79" s="91"/>
    </row>
    <row r="80" spans="1:100" x14ac:dyDescent="0.2">
      <c r="A80" s="14"/>
      <c r="B80" s="14"/>
      <c r="C80" s="14"/>
      <c r="D80" s="14"/>
      <c r="E80" s="14"/>
      <c r="F80" s="14"/>
      <c r="G80" s="14"/>
      <c r="H80" s="14"/>
      <c r="I80" s="14"/>
      <c r="J80" s="14"/>
      <c r="K80" s="86"/>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91"/>
      <c r="CH80" s="91"/>
      <c r="CI80" s="91"/>
      <c r="CJ80" s="91"/>
      <c r="CK80" s="91"/>
      <c r="CL80" s="91"/>
      <c r="CM80" s="91"/>
      <c r="CN80" s="91"/>
      <c r="CO80" s="91"/>
      <c r="CP80" s="91"/>
      <c r="CQ80" s="91"/>
      <c r="CR80" s="91"/>
      <c r="CS80" s="91"/>
      <c r="CT80" s="91"/>
      <c r="CU80" s="91"/>
      <c r="CV80" s="91"/>
    </row>
    <row r="81" spans="1:100" x14ac:dyDescent="0.2">
      <c r="A81" s="14"/>
      <c r="B81" s="14"/>
      <c r="C81" s="14"/>
      <c r="D81" s="14"/>
      <c r="E81" s="14"/>
      <c r="F81" s="14"/>
      <c r="G81" s="14"/>
      <c r="H81" s="14"/>
      <c r="I81" s="14"/>
      <c r="J81" s="14"/>
      <c r="K81" s="86"/>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91"/>
      <c r="CH81" s="91"/>
      <c r="CI81" s="91"/>
      <c r="CJ81" s="91"/>
      <c r="CK81" s="91"/>
      <c r="CL81" s="91"/>
      <c r="CM81" s="91"/>
      <c r="CN81" s="91"/>
      <c r="CO81" s="91"/>
      <c r="CP81" s="91"/>
      <c r="CQ81" s="91"/>
      <c r="CR81" s="91"/>
      <c r="CS81" s="91"/>
      <c r="CT81" s="91"/>
      <c r="CU81" s="91"/>
      <c r="CV81" s="91"/>
    </row>
    <row r="82" spans="1:100" x14ac:dyDescent="0.2">
      <c r="A82" s="14"/>
      <c r="B82" s="14"/>
      <c r="C82" s="14"/>
      <c r="D82" s="14"/>
      <c r="E82" s="14"/>
      <c r="F82" s="14"/>
      <c r="G82" s="14"/>
      <c r="H82" s="14"/>
      <c r="I82" s="14"/>
      <c r="J82" s="14"/>
      <c r="K82" s="86"/>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91"/>
      <c r="CH82" s="91"/>
      <c r="CI82" s="91"/>
      <c r="CJ82" s="91"/>
      <c r="CK82" s="91"/>
      <c r="CL82" s="91"/>
      <c r="CM82" s="91"/>
      <c r="CN82" s="91"/>
      <c r="CO82" s="91"/>
      <c r="CP82" s="91"/>
      <c r="CQ82" s="91"/>
      <c r="CR82" s="91"/>
      <c r="CS82" s="91"/>
      <c r="CT82" s="91"/>
      <c r="CU82" s="91"/>
      <c r="CV82" s="91"/>
    </row>
    <row r="83" spans="1:100" x14ac:dyDescent="0.2">
      <c r="A83" s="14"/>
      <c r="B83" s="14"/>
      <c r="C83" s="14"/>
      <c r="D83" s="14"/>
      <c r="E83" s="14"/>
      <c r="F83" s="14"/>
      <c r="G83" s="14"/>
      <c r="H83" s="14"/>
      <c r="I83" s="14"/>
      <c r="J83" s="14"/>
      <c r="K83" s="86"/>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91"/>
      <c r="CH83" s="91"/>
      <c r="CI83" s="91"/>
      <c r="CJ83" s="91"/>
      <c r="CK83" s="91"/>
      <c r="CL83" s="91"/>
      <c r="CM83" s="91"/>
      <c r="CN83" s="91"/>
      <c r="CO83" s="91"/>
      <c r="CP83" s="91"/>
      <c r="CQ83" s="91"/>
      <c r="CR83" s="91"/>
      <c r="CS83" s="91"/>
      <c r="CT83" s="91"/>
      <c r="CU83" s="91"/>
      <c r="CV83" s="91"/>
    </row>
    <row r="84" spans="1:100" x14ac:dyDescent="0.2">
      <c r="A84" s="14"/>
      <c r="B84" s="14"/>
      <c r="C84" s="14"/>
      <c r="D84" s="14"/>
      <c r="E84" s="14"/>
      <c r="F84" s="14"/>
      <c r="G84" s="14"/>
      <c r="H84" s="14"/>
      <c r="I84" s="14"/>
      <c r="J84" s="14"/>
      <c r="K84" s="86"/>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91"/>
      <c r="CH84" s="91"/>
      <c r="CI84" s="91"/>
      <c r="CJ84" s="91"/>
      <c r="CK84" s="91"/>
      <c r="CL84" s="91"/>
      <c r="CM84" s="91"/>
      <c r="CN84" s="91"/>
      <c r="CO84" s="91"/>
      <c r="CP84" s="91"/>
      <c r="CQ84" s="91"/>
      <c r="CR84" s="91"/>
      <c r="CS84" s="91"/>
      <c r="CT84" s="91"/>
      <c r="CU84" s="91"/>
      <c r="CV84" s="91"/>
    </row>
    <row r="85" spans="1:100" x14ac:dyDescent="0.2">
      <c r="A85" s="14"/>
      <c r="B85" s="14"/>
      <c r="C85" s="14"/>
      <c r="D85" s="14"/>
      <c r="E85" s="14"/>
      <c r="F85" s="14"/>
      <c r="G85" s="14"/>
      <c r="H85" s="14"/>
      <c r="I85" s="14"/>
      <c r="J85" s="14"/>
      <c r="K85" s="86"/>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91"/>
      <c r="CH85" s="91"/>
      <c r="CI85" s="91"/>
      <c r="CJ85" s="91"/>
      <c r="CK85" s="91"/>
      <c r="CL85" s="91"/>
      <c r="CM85" s="91"/>
      <c r="CN85" s="91"/>
      <c r="CO85" s="91"/>
      <c r="CP85" s="91"/>
      <c r="CQ85" s="91"/>
      <c r="CR85" s="91"/>
      <c r="CS85" s="91"/>
      <c r="CT85" s="91"/>
      <c r="CU85" s="91"/>
      <c r="CV85" s="91"/>
    </row>
    <row r="86" spans="1:100" x14ac:dyDescent="0.2">
      <c r="A86" s="14"/>
      <c r="B86" s="14"/>
      <c r="C86" s="14"/>
      <c r="D86" s="14"/>
      <c r="E86" s="14"/>
      <c r="F86" s="14"/>
      <c r="G86" s="14"/>
      <c r="H86" s="14"/>
      <c r="I86" s="14"/>
      <c r="J86" s="14"/>
      <c r="K86" s="86"/>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91"/>
      <c r="CH86" s="91"/>
      <c r="CI86" s="91"/>
      <c r="CJ86" s="91"/>
      <c r="CK86" s="91"/>
      <c r="CL86" s="91"/>
      <c r="CM86" s="91"/>
      <c r="CN86" s="91"/>
      <c r="CO86" s="91"/>
      <c r="CP86" s="91"/>
      <c r="CQ86" s="91"/>
      <c r="CR86" s="91"/>
      <c r="CS86" s="91"/>
      <c r="CT86" s="91"/>
      <c r="CU86" s="91"/>
      <c r="CV86" s="91"/>
    </row>
    <row r="87" spans="1:100" x14ac:dyDescent="0.2">
      <c r="A87" s="14"/>
      <c r="B87" s="14"/>
      <c r="C87" s="14"/>
      <c r="D87" s="14"/>
      <c r="E87" s="14"/>
      <c r="F87" s="14"/>
      <c r="G87" s="14"/>
      <c r="H87" s="14"/>
      <c r="I87" s="14"/>
      <c r="J87" s="14"/>
      <c r="K87" s="86"/>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91"/>
      <c r="CH87" s="91"/>
      <c r="CI87" s="91"/>
      <c r="CJ87" s="91"/>
      <c r="CK87" s="91"/>
      <c r="CL87" s="91"/>
      <c r="CM87" s="91"/>
      <c r="CN87" s="91"/>
      <c r="CO87" s="91"/>
      <c r="CP87" s="91"/>
      <c r="CQ87" s="91"/>
      <c r="CR87" s="91"/>
      <c r="CS87" s="91"/>
      <c r="CT87" s="91"/>
      <c r="CU87" s="91"/>
      <c r="CV87" s="91"/>
    </row>
    <row r="88" spans="1:100" x14ac:dyDescent="0.2">
      <c r="A88" s="14"/>
      <c r="B88" s="14"/>
      <c r="C88" s="14"/>
      <c r="D88" s="14"/>
      <c r="E88" s="14"/>
      <c r="F88" s="14"/>
      <c r="G88" s="14"/>
      <c r="H88" s="14"/>
      <c r="I88" s="14"/>
      <c r="J88" s="14"/>
      <c r="K88" s="86"/>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91"/>
      <c r="CH88" s="91"/>
      <c r="CI88" s="91"/>
      <c r="CJ88" s="91"/>
      <c r="CK88" s="91"/>
      <c r="CL88" s="91"/>
      <c r="CM88" s="91"/>
      <c r="CN88" s="91"/>
      <c r="CO88" s="91"/>
      <c r="CP88" s="91"/>
      <c r="CQ88" s="91"/>
      <c r="CR88" s="91"/>
      <c r="CS88" s="91"/>
      <c r="CT88" s="91"/>
      <c r="CU88" s="91"/>
      <c r="CV88" s="91"/>
    </row>
    <row r="89" spans="1:100" x14ac:dyDescent="0.2">
      <c r="A89" s="14"/>
      <c r="B89" s="14"/>
      <c r="C89" s="14"/>
      <c r="D89" s="14"/>
      <c r="E89" s="14"/>
      <c r="F89" s="14"/>
      <c r="G89" s="14"/>
      <c r="H89" s="14"/>
      <c r="I89" s="14"/>
      <c r="J89" s="14"/>
      <c r="K89" s="86"/>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91"/>
      <c r="CH89" s="91"/>
      <c r="CI89" s="91"/>
      <c r="CJ89" s="91"/>
      <c r="CK89" s="91"/>
      <c r="CL89" s="91"/>
      <c r="CM89" s="91"/>
      <c r="CN89" s="91"/>
      <c r="CO89" s="91"/>
      <c r="CP89" s="91"/>
      <c r="CQ89" s="91"/>
      <c r="CR89" s="91"/>
      <c r="CS89" s="91"/>
      <c r="CT89" s="91"/>
      <c r="CU89" s="91"/>
      <c r="CV89" s="91"/>
    </row>
    <row r="90" spans="1:100" x14ac:dyDescent="0.2">
      <c r="A90" s="14"/>
      <c r="B90" s="14"/>
      <c r="C90" s="14"/>
      <c r="D90" s="14"/>
      <c r="E90" s="14"/>
      <c r="F90" s="14"/>
      <c r="G90" s="14"/>
      <c r="H90" s="14"/>
      <c r="I90" s="14"/>
      <c r="J90" s="14"/>
      <c r="K90" s="86"/>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91"/>
      <c r="CH90" s="91"/>
      <c r="CI90" s="91"/>
      <c r="CJ90" s="91"/>
      <c r="CK90" s="91"/>
      <c r="CL90" s="91"/>
      <c r="CM90" s="91"/>
      <c r="CN90" s="91"/>
      <c r="CO90" s="91"/>
      <c r="CP90" s="91"/>
      <c r="CQ90" s="91"/>
      <c r="CR90" s="91"/>
      <c r="CS90" s="91"/>
      <c r="CT90" s="91"/>
      <c r="CU90" s="91"/>
      <c r="CV90" s="91"/>
    </row>
    <row r="91" spans="1:100" x14ac:dyDescent="0.2">
      <c r="A91" s="14"/>
      <c r="B91" s="14"/>
      <c r="C91" s="14"/>
      <c r="D91" s="14"/>
      <c r="E91" s="14"/>
      <c r="F91" s="14"/>
      <c r="G91" s="14"/>
      <c r="H91" s="14"/>
      <c r="I91" s="14"/>
      <c r="J91" s="14"/>
      <c r="K91" s="86"/>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91"/>
      <c r="CH91" s="91"/>
      <c r="CI91" s="91"/>
      <c r="CJ91" s="91"/>
      <c r="CK91" s="91"/>
      <c r="CL91" s="91"/>
      <c r="CM91" s="91"/>
      <c r="CN91" s="91"/>
      <c r="CO91" s="91"/>
      <c r="CP91" s="91"/>
      <c r="CQ91" s="91"/>
      <c r="CR91" s="91"/>
      <c r="CS91" s="91"/>
      <c r="CT91" s="91"/>
      <c r="CU91" s="91"/>
      <c r="CV91" s="91"/>
    </row>
    <row r="92" spans="1:100" x14ac:dyDescent="0.2">
      <c r="A92" s="14"/>
      <c r="B92" s="14"/>
      <c r="C92" s="14"/>
      <c r="D92" s="14"/>
      <c r="E92" s="14"/>
      <c r="F92" s="14"/>
      <c r="G92" s="14"/>
      <c r="H92" s="14"/>
      <c r="I92" s="14"/>
      <c r="J92" s="14"/>
      <c r="K92" s="86"/>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91"/>
      <c r="CH92" s="91"/>
      <c r="CI92" s="91"/>
      <c r="CJ92" s="91"/>
      <c r="CK92" s="91"/>
      <c r="CL92" s="91"/>
      <c r="CM92" s="91"/>
      <c r="CN92" s="91"/>
      <c r="CO92" s="91"/>
      <c r="CP92" s="91"/>
      <c r="CQ92" s="91"/>
      <c r="CR92" s="91"/>
      <c r="CS92" s="91"/>
      <c r="CT92" s="91"/>
      <c r="CU92" s="91"/>
      <c r="CV92" s="91"/>
    </row>
    <row r="93" spans="1:100" x14ac:dyDescent="0.2">
      <c r="A93" s="14"/>
      <c r="B93" s="14"/>
      <c r="C93" s="14"/>
      <c r="D93" s="14"/>
      <c r="E93" s="14"/>
      <c r="F93" s="14"/>
      <c r="G93" s="14"/>
      <c r="H93" s="14"/>
      <c r="I93" s="14"/>
      <c r="J93" s="14"/>
      <c r="K93" s="86"/>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91"/>
      <c r="CH93" s="91"/>
      <c r="CI93" s="91"/>
      <c r="CJ93" s="91"/>
      <c r="CK93" s="91"/>
      <c r="CL93" s="91"/>
      <c r="CM93" s="91"/>
      <c r="CN93" s="91"/>
      <c r="CO93" s="91"/>
      <c r="CP93" s="91"/>
      <c r="CQ93" s="91"/>
      <c r="CR93" s="91"/>
      <c r="CS93" s="91"/>
      <c r="CT93" s="91"/>
      <c r="CU93" s="91"/>
      <c r="CV93" s="91"/>
    </row>
    <row r="94" spans="1:100" x14ac:dyDescent="0.2">
      <c r="A94" s="14"/>
      <c r="B94" s="14"/>
      <c r="C94" s="14"/>
      <c r="D94" s="14"/>
      <c r="E94" s="14"/>
      <c r="F94" s="14"/>
      <c r="G94" s="14"/>
      <c r="H94" s="14"/>
      <c r="I94" s="14"/>
      <c r="J94" s="14"/>
      <c r="K94" s="86"/>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91"/>
      <c r="CH94" s="91"/>
      <c r="CI94" s="91"/>
      <c r="CJ94" s="91"/>
      <c r="CK94" s="91"/>
      <c r="CL94" s="91"/>
      <c r="CM94" s="91"/>
      <c r="CN94" s="91"/>
      <c r="CO94" s="91"/>
      <c r="CP94" s="91"/>
      <c r="CQ94" s="91"/>
      <c r="CR94" s="91"/>
      <c r="CS94" s="91"/>
      <c r="CT94" s="91"/>
      <c r="CU94" s="91"/>
      <c r="CV94" s="91"/>
    </row>
    <row r="95" spans="1:100" x14ac:dyDescent="0.2">
      <c r="A95" s="14"/>
      <c r="B95" s="14"/>
      <c r="C95" s="14"/>
      <c r="D95" s="14"/>
      <c r="E95" s="14"/>
      <c r="F95" s="14"/>
      <c r="G95" s="14"/>
      <c r="H95" s="14"/>
      <c r="I95" s="14"/>
      <c r="J95" s="14"/>
      <c r="K95" s="86"/>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c r="BW95" s="14"/>
      <c r="BX95" s="14"/>
      <c r="BY95" s="14"/>
      <c r="BZ95" s="14"/>
      <c r="CA95" s="14"/>
      <c r="CB95" s="14"/>
      <c r="CC95" s="14"/>
      <c r="CD95" s="14"/>
      <c r="CE95" s="14"/>
      <c r="CF95" s="14"/>
      <c r="CG95" s="91"/>
      <c r="CH95" s="91"/>
      <c r="CI95" s="91"/>
      <c r="CJ95" s="91"/>
      <c r="CK95" s="91"/>
      <c r="CL95" s="91"/>
      <c r="CM95" s="91"/>
      <c r="CN95" s="91"/>
      <c r="CO95" s="91"/>
      <c r="CP95" s="91"/>
      <c r="CQ95" s="91"/>
      <c r="CR95" s="91"/>
      <c r="CS95" s="91"/>
      <c r="CT95" s="91"/>
      <c r="CU95" s="91"/>
      <c r="CV95" s="91"/>
    </row>
    <row r="96" spans="1:100" x14ac:dyDescent="0.2">
      <c r="A96" s="14"/>
      <c r="B96" s="14"/>
      <c r="C96" s="14"/>
      <c r="D96" s="14"/>
      <c r="E96" s="14"/>
      <c r="F96" s="14"/>
      <c r="G96" s="14"/>
      <c r="H96" s="14"/>
      <c r="I96" s="14"/>
      <c r="J96" s="14"/>
      <c r="K96" s="86"/>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c r="BW96" s="14"/>
      <c r="BX96" s="14"/>
      <c r="BY96" s="14"/>
      <c r="BZ96" s="14"/>
      <c r="CA96" s="14"/>
      <c r="CB96" s="14"/>
      <c r="CC96" s="14"/>
      <c r="CD96" s="14"/>
      <c r="CE96" s="14"/>
      <c r="CF96" s="14"/>
      <c r="CG96" s="91"/>
      <c r="CH96" s="91"/>
      <c r="CI96" s="91"/>
      <c r="CJ96" s="91"/>
      <c r="CK96" s="91"/>
      <c r="CL96" s="91"/>
      <c r="CM96" s="91"/>
      <c r="CN96" s="91"/>
      <c r="CO96" s="91"/>
      <c r="CP96" s="91"/>
      <c r="CQ96" s="91"/>
      <c r="CR96" s="91"/>
      <c r="CS96" s="91"/>
      <c r="CT96" s="91"/>
      <c r="CU96" s="91"/>
      <c r="CV96" s="91"/>
    </row>
    <row r="97" spans="1:100" x14ac:dyDescent="0.2">
      <c r="A97" s="14"/>
      <c r="B97" s="14"/>
      <c r="C97" s="14"/>
      <c r="D97" s="14"/>
      <c r="E97" s="14"/>
      <c r="F97" s="14"/>
      <c r="G97" s="14"/>
      <c r="H97" s="14"/>
      <c r="I97" s="14"/>
      <c r="J97" s="14"/>
      <c r="K97" s="86"/>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c r="BW97" s="14"/>
      <c r="BX97" s="14"/>
      <c r="BY97" s="14"/>
      <c r="BZ97" s="14"/>
      <c r="CA97" s="14"/>
      <c r="CB97" s="14"/>
      <c r="CC97" s="14"/>
      <c r="CD97" s="14"/>
      <c r="CE97" s="14"/>
      <c r="CF97" s="14"/>
      <c r="CG97" s="91"/>
      <c r="CH97" s="91"/>
      <c r="CI97" s="91"/>
      <c r="CJ97" s="91"/>
      <c r="CK97" s="91"/>
      <c r="CL97" s="91"/>
      <c r="CM97" s="91"/>
      <c r="CN97" s="91"/>
      <c r="CO97" s="91"/>
      <c r="CP97" s="91"/>
      <c r="CQ97" s="91"/>
      <c r="CR97" s="91"/>
      <c r="CS97" s="91"/>
      <c r="CT97" s="91"/>
      <c r="CU97" s="91"/>
      <c r="CV97" s="91"/>
    </row>
    <row r="98" spans="1:100" x14ac:dyDescent="0.2">
      <c r="A98" s="14"/>
      <c r="B98" s="14"/>
      <c r="C98" s="14"/>
      <c r="D98" s="14"/>
      <c r="E98" s="14"/>
      <c r="F98" s="14"/>
      <c r="G98" s="14"/>
      <c r="H98" s="14"/>
      <c r="I98" s="14"/>
      <c r="J98" s="14"/>
      <c r="K98" s="86"/>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c r="BW98" s="14"/>
      <c r="BX98" s="14"/>
      <c r="BY98" s="14"/>
      <c r="BZ98" s="14"/>
      <c r="CA98" s="14"/>
      <c r="CB98" s="14"/>
      <c r="CC98" s="14"/>
      <c r="CD98" s="14"/>
      <c r="CE98" s="14"/>
      <c r="CF98" s="14"/>
      <c r="CG98" s="91"/>
      <c r="CH98" s="91"/>
      <c r="CI98" s="91"/>
      <c r="CJ98" s="91"/>
      <c r="CK98" s="91"/>
      <c r="CL98" s="91"/>
      <c r="CM98" s="91"/>
      <c r="CN98" s="91"/>
      <c r="CO98" s="91"/>
      <c r="CP98" s="91"/>
      <c r="CQ98" s="91"/>
      <c r="CR98" s="91"/>
      <c r="CS98" s="91"/>
      <c r="CT98" s="91"/>
      <c r="CU98" s="91"/>
      <c r="CV98" s="91"/>
    </row>
    <row r="99" spans="1:100" x14ac:dyDescent="0.2">
      <c r="A99" s="14"/>
      <c r="B99" s="14"/>
      <c r="C99" s="14"/>
      <c r="D99" s="14"/>
      <c r="E99" s="14"/>
      <c r="F99" s="14"/>
      <c r="G99" s="14"/>
      <c r="H99" s="14"/>
      <c r="I99" s="14"/>
      <c r="J99" s="14"/>
      <c r="K99" s="86"/>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91"/>
      <c r="CH99" s="91"/>
      <c r="CI99" s="91"/>
      <c r="CJ99" s="91"/>
      <c r="CK99" s="91"/>
      <c r="CL99" s="91"/>
      <c r="CM99" s="91"/>
      <c r="CN99" s="91"/>
      <c r="CO99" s="91"/>
      <c r="CP99" s="91"/>
      <c r="CQ99" s="91"/>
      <c r="CR99" s="91"/>
      <c r="CS99" s="91"/>
      <c r="CT99" s="91"/>
      <c r="CU99" s="91"/>
      <c r="CV99" s="91"/>
    </row>
    <row r="100" spans="1:100" x14ac:dyDescent="0.2">
      <c r="A100" s="14"/>
      <c r="B100" s="14"/>
      <c r="C100" s="14"/>
      <c r="D100" s="14"/>
      <c r="E100" s="14"/>
      <c r="F100" s="14"/>
      <c r="G100" s="14"/>
      <c r="H100" s="14"/>
      <c r="I100" s="14"/>
      <c r="J100" s="14"/>
      <c r="K100" s="86"/>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c r="BW100" s="14"/>
      <c r="BX100" s="14"/>
      <c r="BY100" s="14"/>
      <c r="BZ100" s="14"/>
      <c r="CA100" s="14"/>
      <c r="CB100" s="14"/>
      <c r="CC100" s="14"/>
      <c r="CD100" s="14"/>
      <c r="CE100" s="14"/>
      <c r="CF100" s="14"/>
      <c r="CG100" s="91"/>
      <c r="CH100" s="91"/>
      <c r="CI100" s="91"/>
      <c r="CJ100" s="91"/>
      <c r="CK100" s="91"/>
      <c r="CL100" s="91"/>
      <c r="CM100" s="91"/>
      <c r="CN100" s="91"/>
      <c r="CO100" s="91"/>
      <c r="CP100" s="91"/>
      <c r="CQ100" s="91"/>
      <c r="CR100" s="91"/>
      <c r="CS100" s="91"/>
      <c r="CT100" s="91"/>
      <c r="CU100" s="91"/>
      <c r="CV100" s="91"/>
    </row>
    <row r="101" spans="1:100" x14ac:dyDescent="0.2">
      <c r="A101" s="14"/>
      <c r="B101" s="14"/>
      <c r="C101" s="14"/>
      <c r="D101" s="14"/>
      <c r="E101" s="14"/>
      <c r="F101" s="14"/>
      <c r="G101" s="14"/>
      <c r="H101" s="14"/>
      <c r="I101" s="14"/>
      <c r="J101" s="14"/>
      <c r="K101" s="86"/>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91"/>
      <c r="CH101" s="91"/>
      <c r="CI101" s="91"/>
      <c r="CJ101" s="91"/>
      <c r="CK101" s="91"/>
      <c r="CL101" s="91"/>
      <c r="CM101" s="91"/>
      <c r="CN101" s="91"/>
      <c r="CO101" s="91"/>
      <c r="CP101" s="91"/>
      <c r="CQ101" s="91"/>
      <c r="CR101" s="91"/>
      <c r="CS101" s="91"/>
      <c r="CT101" s="91"/>
      <c r="CU101" s="91"/>
      <c r="CV101" s="91"/>
    </row>
    <row r="102" spans="1:100" x14ac:dyDescent="0.2">
      <c r="A102" s="14"/>
      <c r="B102" s="14"/>
      <c r="C102" s="14"/>
      <c r="D102" s="14"/>
      <c r="E102" s="14"/>
      <c r="F102" s="14"/>
      <c r="G102" s="14"/>
      <c r="H102" s="14"/>
      <c r="I102" s="14"/>
      <c r="J102" s="14"/>
      <c r="K102" s="86"/>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91"/>
      <c r="CH102" s="91"/>
      <c r="CI102" s="91"/>
      <c r="CJ102" s="91"/>
      <c r="CK102" s="91"/>
      <c r="CL102" s="91"/>
      <c r="CM102" s="91"/>
      <c r="CN102" s="91"/>
      <c r="CO102" s="91"/>
      <c r="CP102" s="91"/>
      <c r="CQ102" s="91"/>
      <c r="CR102" s="91"/>
      <c r="CS102" s="91"/>
      <c r="CT102" s="91"/>
      <c r="CU102" s="91"/>
      <c r="CV102" s="91"/>
    </row>
    <row r="103" spans="1:100" x14ac:dyDescent="0.2">
      <c r="A103" s="14"/>
      <c r="B103" s="14"/>
      <c r="C103" s="14"/>
      <c r="D103" s="14"/>
      <c r="E103" s="14"/>
      <c r="F103" s="14"/>
      <c r="G103" s="14"/>
      <c r="H103" s="14"/>
      <c r="I103" s="14"/>
      <c r="J103" s="14"/>
      <c r="K103" s="86"/>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91"/>
      <c r="CH103" s="91"/>
      <c r="CI103" s="91"/>
      <c r="CJ103" s="91"/>
      <c r="CK103" s="91"/>
      <c r="CL103" s="91"/>
      <c r="CM103" s="91"/>
      <c r="CN103" s="91"/>
      <c r="CO103" s="91"/>
      <c r="CP103" s="91"/>
      <c r="CQ103" s="91"/>
      <c r="CR103" s="91"/>
      <c r="CS103" s="91"/>
      <c r="CT103" s="91"/>
      <c r="CU103" s="91"/>
      <c r="CV103" s="91"/>
    </row>
    <row r="104" spans="1:100" x14ac:dyDescent="0.2">
      <c r="A104" s="14"/>
      <c r="B104" s="14"/>
      <c r="C104" s="14"/>
      <c r="D104" s="14"/>
      <c r="E104" s="14"/>
      <c r="F104" s="14"/>
      <c r="G104" s="14"/>
      <c r="H104" s="14"/>
      <c r="I104" s="14"/>
      <c r="J104" s="14"/>
      <c r="K104" s="86"/>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c r="BW104" s="14"/>
      <c r="BX104" s="14"/>
      <c r="BY104" s="14"/>
      <c r="BZ104" s="14"/>
      <c r="CA104" s="14"/>
      <c r="CB104" s="14"/>
      <c r="CC104" s="14"/>
      <c r="CD104" s="14"/>
      <c r="CE104" s="14"/>
      <c r="CF104" s="14"/>
      <c r="CG104" s="91"/>
      <c r="CH104" s="91"/>
      <c r="CI104" s="91"/>
      <c r="CJ104" s="91"/>
      <c r="CK104" s="91"/>
      <c r="CL104" s="91"/>
      <c r="CM104" s="91"/>
      <c r="CN104" s="91"/>
      <c r="CO104" s="91"/>
      <c r="CP104" s="91"/>
      <c r="CQ104" s="91"/>
      <c r="CR104" s="91"/>
      <c r="CS104" s="91"/>
      <c r="CT104" s="91"/>
      <c r="CU104" s="91"/>
      <c r="CV104" s="91"/>
    </row>
    <row r="105" spans="1:100" x14ac:dyDescent="0.2">
      <c r="A105" s="14"/>
      <c r="B105" s="14"/>
      <c r="C105" s="14"/>
      <c r="D105" s="14"/>
      <c r="E105" s="14"/>
      <c r="F105" s="14"/>
      <c r="G105" s="14"/>
      <c r="H105" s="14"/>
      <c r="I105" s="14"/>
      <c r="J105" s="14"/>
      <c r="K105" s="86"/>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c r="BW105" s="14"/>
      <c r="BX105" s="14"/>
      <c r="BY105" s="14"/>
      <c r="BZ105" s="14"/>
      <c r="CA105" s="14"/>
      <c r="CB105" s="14"/>
      <c r="CC105" s="14"/>
      <c r="CD105" s="14"/>
      <c r="CE105" s="14"/>
      <c r="CF105" s="14"/>
      <c r="CG105" s="91"/>
      <c r="CH105" s="91"/>
      <c r="CI105" s="91"/>
      <c r="CJ105" s="91"/>
      <c r="CK105" s="91"/>
      <c r="CL105" s="91"/>
      <c r="CM105" s="91"/>
      <c r="CN105" s="91"/>
      <c r="CO105" s="91"/>
      <c r="CP105" s="91"/>
      <c r="CQ105" s="91"/>
      <c r="CR105" s="91"/>
      <c r="CS105" s="91"/>
      <c r="CT105" s="91"/>
      <c r="CU105" s="91"/>
      <c r="CV105" s="91"/>
    </row>
    <row r="106" spans="1:100" x14ac:dyDescent="0.2">
      <c r="A106" s="14"/>
      <c r="B106" s="14"/>
      <c r="C106" s="14"/>
      <c r="D106" s="14"/>
      <c r="E106" s="14"/>
      <c r="F106" s="14"/>
      <c r="G106" s="14"/>
      <c r="H106" s="14"/>
      <c r="I106" s="14"/>
      <c r="J106" s="14"/>
      <c r="K106" s="86"/>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c r="BW106" s="14"/>
      <c r="BX106" s="14"/>
      <c r="BY106" s="14"/>
      <c r="BZ106" s="14"/>
      <c r="CA106" s="14"/>
      <c r="CB106" s="14"/>
      <c r="CC106" s="14"/>
      <c r="CD106" s="14"/>
      <c r="CE106" s="14"/>
      <c r="CF106" s="14"/>
      <c r="CG106" s="91"/>
      <c r="CH106" s="91"/>
      <c r="CI106" s="91"/>
      <c r="CJ106" s="91"/>
      <c r="CK106" s="91"/>
      <c r="CL106" s="91"/>
      <c r="CM106" s="91"/>
      <c r="CN106" s="91"/>
      <c r="CO106" s="91"/>
      <c r="CP106" s="91"/>
      <c r="CQ106" s="91"/>
      <c r="CR106" s="91"/>
      <c r="CS106" s="91"/>
      <c r="CT106" s="91"/>
      <c r="CU106" s="91"/>
      <c r="CV106" s="91"/>
    </row>
    <row r="107" spans="1:100" x14ac:dyDescent="0.2">
      <c r="A107" s="14"/>
      <c r="B107" s="14"/>
      <c r="C107" s="14"/>
      <c r="D107" s="14"/>
      <c r="E107" s="14"/>
      <c r="F107" s="14"/>
      <c r="G107" s="14"/>
      <c r="H107" s="14"/>
      <c r="I107" s="14"/>
      <c r="J107" s="14"/>
      <c r="K107" s="86"/>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c r="BM107" s="14"/>
      <c r="BN107" s="14"/>
      <c r="BO107" s="14"/>
      <c r="BP107" s="14"/>
      <c r="BQ107" s="14"/>
      <c r="BR107" s="14"/>
      <c r="BS107" s="14"/>
      <c r="BT107" s="14"/>
      <c r="BU107" s="14"/>
      <c r="BV107" s="14"/>
      <c r="BW107" s="14"/>
      <c r="BX107" s="14"/>
      <c r="BY107" s="14"/>
      <c r="BZ107" s="14"/>
      <c r="CA107" s="14"/>
      <c r="CB107" s="14"/>
      <c r="CC107" s="14"/>
      <c r="CD107" s="14"/>
      <c r="CE107" s="14"/>
      <c r="CF107" s="14"/>
      <c r="CG107" s="91"/>
      <c r="CH107" s="91"/>
      <c r="CI107" s="91"/>
      <c r="CJ107" s="91"/>
      <c r="CK107" s="91"/>
      <c r="CL107" s="91"/>
      <c r="CM107" s="91"/>
      <c r="CN107" s="91"/>
      <c r="CO107" s="91"/>
      <c r="CP107" s="91"/>
      <c r="CQ107" s="91"/>
      <c r="CR107" s="91"/>
      <c r="CS107" s="91"/>
      <c r="CT107" s="91"/>
      <c r="CU107" s="91"/>
      <c r="CV107" s="91"/>
    </row>
    <row r="108" spans="1:100" x14ac:dyDescent="0.2">
      <c r="A108" s="14"/>
      <c r="B108" s="14"/>
      <c r="C108" s="14"/>
      <c r="D108" s="14"/>
      <c r="E108" s="14"/>
      <c r="F108" s="14"/>
      <c r="G108" s="14"/>
      <c r="H108" s="14"/>
      <c r="I108" s="14"/>
      <c r="J108" s="14"/>
      <c r="K108" s="86"/>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4"/>
      <c r="BT108" s="14"/>
      <c r="BU108" s="14"/>
      <c r="BV108" s="14"/>
      <c r="BW108" s="14"/>
      <c r="BX108" s="14"/>
      <c r="BY108" s="14"/>
      <c r="BZ108" s="14"/>
      <c r="CA108" s="14"/>
      <c r="CB108" s="14"/>
      <c r="CC108" s="14"/>
      <c r="CD108" s="14"/>
      <c r="CE108" s="14"/>
      <c r="CF108" s="14"/>
      <c r="CG108" s="91"/>
      <c r="CH108" s="91"/>
      <c r="CI108" s="91"/>
      <c r="CJ108" s="91"/>
      <c r="CK108" s="91"/>
      <c r="CL108" s="91"/>
      <c r="CM108" s="91"/>
      <c r="CN108" s="91"/>
      <c r="CO108" s="91"/>
      <c r="CP108" s="91"/>
      <c r="CQ108" s="91"/>
      <c r="CR108" s="91"/>
      <c r="CS108" s="91"/>
      <c r="CT108" s="91"/>
      <c r="CU108" s="91"/>
      <c r="CV108" s="91"/>
    </row>
    <row r="109" spans="1:100" x14ac:dyDescent="0.2">
      <c r="A109" s="14"/>
      <c r="B109" s="14"/>
      <c r="C109" s="14"/>
      <c r="D109" s="14"/>
      <c r="E109" s="14"/>
      <c r="F109" s="14"/>
      <c r="G109" s="14"/>
      <c r="H109" s="14"/>
      <c r="I109" s="14"/>
      <c r="J109" s="14"/>
      <c r="K109" s="86"/>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c r="BM109" s="14"/>
      <c r="BN109" s="14"/>
      <c r="BO109" s="14"/>
      <c r="BP109" s="14"/>
      <c r="BQ109" s="14"/>
      <c r="BR109" s="14"/>
      <c r="BS109" s="14"/>
      <c r="BT109" s="14"/>
      <c r="BU109" s="14"/>
      <c r="BV109" s="14"/>
      <c r="BW109" s="14"/>
      <c r="BX109" s="14"/>
      <c r="BY109" s="14"/>
      <c r="BZ109" s="14"/>
      <c r="CA109" s="14"/>
      <c r="CB109" s="14"/>
      <c r="CC109" s="14"/>
      <c r="CD109" s="14"/>
      <c r="CE109" s="14"/>
      <c r="CF109" s="14"/>
      <c r="CG109" s="91"/>
      <c r="CH109" s="91"/>
      <c r="CI109" s="91"/>
      <c r="CJ109" s="91"/>
      <c r="CK109" s="91"/>
      <c r="CL109" s="91"/>
      <c r="CM109" s="91"/>
      <c r="CN109" s="91"/>
      <c r="CO109" s="91"/>
      <c r="CP109" s="91"/>
      <c r="CQ109" s="91"/>
      <c r="CR109" s="91"/>
      <c r="CS109" s="91"/>
      <c r="CT109" s="91"/>
      <c r="CU109" s="91"/>
      <c r="CV109" s="91"/>
    </row>
    <row r="110" spans="1:100" x14ac:dyDescent="0.2">
      <c r="A110" s="14"/>
      <c r="B110" s="14"/>
      <c r="C110" s="14"/>
      <c r="D110" s="14"/>
      <c r="E110" s="14"/>
      <c r="F110" s="14"/>
      <c r="G110" s="14"/>
      <c r="H110" s="14"/>
      <c r="I110" s="14"/>
      <c r="J110" s="14"/>
      <c r="K110" s="86"/>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c r="BO110" s="14"/>
      <c r="BP110" s="14"/>
      <c r="BQ110" s="14"/>
      <c r="BR110" s="14"/>
      <c r="BS110" s="14"/>
      <c r="BT110" s="14"/>
      <c r="BU110" s="14"/>
      <c r="BV110" s="14"/>
      <c r="BW110" s="14"/>
      <c r="BX110" s="14"/>
      <c r="BY110" s="14"/>
      <c r="BZ110" s="14"/>
      <c r="CA110" s="14"/>
      <c r="CB110" s="14"/>
      <c r="CC110" s="14"/>
      <c r="CD110" s="14"/>
      <c r="CE110" s="14"/>
      <c r="CF110" s="14"/>
      <c r="CG110" s="91"/>
      <c r="CH110" s="91"/>
      <c r="CI110" s="91"/>
      <c r="CJ110" s="91"/>
      <c r="CK110" s="91"/>
      <c r="CL110" s="91"/>
      <c r="CM110" s="91"/>
      <c r="CN110" s="91"/>
      <c r="CO110" s="91"/>
      <c r="CP110" s="91"/>
      <c r="CQ110" s="91"/>
      <c r="CR110" s="91"/>
      <c r="CS110" s="91"/>
      <c r="CT110" s="91"/>
      <c r="CU110" s="91"/>
      <c r="CV110" s="91"/>
    </row>
    <row r="111" spans="1:100" x14ac:dyDescent="0.2">
      <c r="A111" s="14"/>
      <c r="B111" s="14"/>
      <c r="C111" s="14"/>
      <c r="D111" s="14"/>
      <c r="E111" s="14"/>
      <c r="F111" s="14"/>
      <c r="G111" s="14"/>
      <c r="H111" s="14"/>
      <c r="I111" s="14"/>
      <c r="J111" s="14"/>
      <c r="K111" s="86"/>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c r="BM111" s="14"/>
      <c r="BN111" s="14"/>
      <c r="BO111" s="14"/>
      <c r="BP111" s="14"/>
      <c r="BQ111" s="14"/>
      <c r="BR111" s="14"/>
      <c r="BS111" s="14"/>
      <c r="BT111" s="14"/>
      <c r="BU111" s="14"/>
      <c r="BV111" s="14"/>
      <c r="BW111" s="14"/>
      <c r="BX111" s="14"/>
      <c r="BY111" s="14"/>
      <c r="BZ111" s="14"/>
      <c r="CA111" s="14"/>
      <c r="CB111" s="14"/>
      <c r="CC111" s="14"/>
      <c r="CD111" s="14"/>
      <c r="CE111" s="14"/>
      <c r="CF111" s="14"/>
      <c r="CG111" s="91"/>
      <c r="CH111" s="91"/>
      <c r="CI111" s="91"/>
      <c r="CJ111" s="91"/>
      <c r="CK111" s="91"/>
      <c r="CL111" s="91"/>
      <c r="CM111" s="91"/>
      <c r="CN111" s="91"/>
      <c r="CO111" s="91"/>
      <c r="CP111" s="91"/>
      <c r="CQ111" s="91"/>
      <c r="CR111" s="91"/>
      <c r="CS111" s="91"/>
      <c r="CT111" s="91"/>
      <c r="CU111" s="91"/>
      <c r="CV111" s="91"/>
    </row>
    <row r="112" spans="1:100" x14ac:dyDescent="0.2">
      <c r="A112" s="14"/>
      <c r="B112" s="14"/>
      <c r="C112" s="14"/>
      <c r="D112" s="14"/>
      <c r="E112" s="14"/>
      <c r="F112" s="14"/>
      <c r="G112" s="14"/>
      <c r="H112" s="14"/>
      <c r="I112" s="14"/>
      <c r="J112" s="14"/>
      <c r="K112" s="86"/>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4"/>
      <c r="BT112" s="14"/>
      <c r="BU112" s="14"/>
      <c r="BV112" s="14"/>
      <c r="BW112" s="14"/>
      <c r="BX112" s="14"/>
      <c r="BY112" s="14"/>
      <c r="BZ112" s="14"/>
      <c r="CA112" s="14"/>
      <c r="CB112" s="14"/>
      <c r="CC112" s="14"/>
      <c r="CD112" s="14"/>
      <c r="CE112" s="14"/>
      <c r="CF112" s="14"/>
      <c r="CG112" s="91"/>
      <c r="CH112" s="91"/>
      <c r="CI112" s="91"/>
      <c r="CJ112" s="91"/>
      <c r="CK112" s="91"/>
      <c r="CL112" s="91"/>
      <c r="CM112" s="91"/>
      <c r="CN112" s="91"/>
      <c r="CO112" s="91"/>
      <c r="CP112" s="91"/>
      <c r="CQ112" s="91"/>
      <c r="CR112" s="91"/>
      <c r="CS112" s="91"/>
      <c r="CT112" s="91"/>
      <c r="CU112" s="91"/>
      <c r="CV112" s="91"/>
    </row>
    <row r="113" spans="1:100" x14ac:dyDescent="0.2">
      <c r="A113" s="14"/>
      <c r="B113" s="14"/>
      <c r="C113" s="14"/>
      <c r="D113" s="14"/>
      <c r="E113" s="14"/>
      <c r="F113" s="14"/>
      <c r="G113" s="14"/>
      <c r="H113" s="14"/>
      <c r="I113" s="14"/>
      <c r="J113" s="14"/>
      <c r="K113" s="86"/>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4"/>
      <c r="BT113" s="14"/>
      <c r="BU113" s="14"/>
      <c r="BV113" s="14"/>
      <c r="BW113" s="14"/>
      <c r="BX113" s="14"/>
      <c r="BY113" s="14"/>
      <c r="BZ113" s="14"/>
      <c r="CA113" s="14"/>
      <c r="CB113" s="14"/>
      <c r="CC113" s="14"/>
      <c r="CD113" s="14"/>
      <c r="CE113" s="14"/>
      <c r="CF113" s="14"/>
      <c r="CG113" s="91"/>
      <c r="CH113" s="91"/>
      <c r="CI113" s="91"/>
      <c r="CJ113" s="91"/>
      <c r="CK113" s="91"/>
      <c r="CL113" s="91"/>
      <c r="CM113" s="91"/>
      <c r="CN113" s="91"/>
      <c r="CO113" s="91"/>
      <c r="CP113" s="91"/>
      <c r="CQ113" s="91"/>
      <c r="CR113" s="91"/>
      <c r="CS113" s="91"/>
      <c r="CT113" s="91"/>
      <c r="CU113" s="91"/>
      <c r="CV113" s="91"/>
    </row>
    <row r="114" spans="1:100" x14ac:dyDescent="0.2">
      <c r="A114" s="14"/>
      <c r="B114" s="14"/>
      <c r="C114" s="14"/>
      <c r="D114" s="14"/>
      <c r="E114" s="14"/>
      <c r="F114" s="14"/>
      <c r="G114" s="14"/>
      <c r="H114" s="14"/>
      <c r="I114" s="14"/>
      <c r="J114" s="14"/>
      <c r="K114" s="86"/>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4"/>
      <c r="BT114" s="14"/>
      <c r="BU114" s="14"/>
      <c r="BV114" s="14"/>
      <c r="BW114" s="14"/>
      <c r="BX114" s="14"/>
      <c r="BY114" s="14"/>
      <c r="BZ114" s="14"/>
      <c r="CA114" s="14"/>
      <c r="CB114" s="14"/>
      <c r="CC114" s="14"/>
      <c r="CD114" s="14"/>
      <c r="CE114" s="14"/>
      <c r="CF114" s="14"/>
      <c r="CG114" s="91"/>
      <c r="CH114" s="91"/>
      <c r="CI114" s="91"/>
      <c r="CJ114" s="91"/>
      <c r="CK114" s="91"/>
      <c r="CL114" s="91"/>
      <c r="CM114" s="91"/>
      <c r="CN114" s="91"/>
      <c r="CO114" s="91"/>
      <c r="CP114" s="91"/>
      <c r="CQ114" s="91"/>
      <c r="CR114" s="91"/>
      <c r="CS114" s="91"/>
      <c r="CT114" s="91"/>
      <c r="CU114" s="91"/>
      <c r="CV114" s="91"/>
    </row>
    <row r="115" spans="1:100" x14ac:dyDescent="0.2">
      <c r="A115" s="14"/>
      <c r="B115" s="14"/>
      <c r="C115" s="14"/>
      <c r="D115" s="14"/>
      <c r="E115" s="14"/>
      <c r="F115" s="14"/>
      <c r="G115" s="14"/>
      <c r="H115" s="14"/>
      <c r="I115" s="14"/>
      <c r="J115" s="14"/>
      <c r="K115" s="86"/>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c r="BO115" s="14"/>
      <c r="BP115" s="14"/>
      <c r="BQ115" s="14"/>
      <c r="BR115" s="14"/>
      <c r="BS115" s="14"/>
      <c r="BT115" s="14"/>
      <c r="BU115" s="14"/>
      <c r="BV115" s="14"/>
      <c r="BW115" s="14"/>
      <c r="BX115" s="14"/>
      <c r="BY115" s="14"/>
      <c r="BZ115" s="14"/>
      <c r="CA115" s="14"/>
      <c r="CB115" s="14"/>
      <c r="CC115" s="14"/>
      <c r="CD115" s="14"/>
      <c r="CE115" s="14"/>
      <c r="CF115" s="14"/>
      <c r="CG115" s="91"/>
      <c r="CH115" s="91"/>
      <c r="CI115" s="91"/>
      <c r="CJ115" s="91"/>
      <c r="CK115" s="91"/>
      <c r="CL115" s="91"/>
      <c r="CM115" s="91"/>
      <c r="CN115" s="91"/>
      <c r="CO115" s="91"/>
      <c r="CP115" s="91"/>
      <c r="CQ115" s="91"/>
      <c r="CR115" s="91"/>
      <c r="CS115" s="91"/>
      <c r="CT115" s="91"/>
      <c r="CU115" s="91"/>
      <c r="CV115" s="91"/>
    </row>
    <row r="116" spans="1:100" x14ac:dyDescent="0.2">
      <c r="A116" s="14"/>
      <c r="B116" s="14"/>
      <c r="C116" s="14"/>
      <c r="D116" s="14"/>
      <c r="E116" s="14"/>
      <c r="F116" s="14"/>
      <c r="G116" s="14"/>
      <c r="H116" s="14"/>
      <c r="I116" s="14"/>
      <c r="J116" s="14"/>
      <c r="K116" s="86"/>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14"/>
      <c r="AX116" s="14"/>
      <c r="AY116" s="14"/>
      <c r="AZ116" s="14"/>
      <c r="BA116" s="14"/>
      <c r="BB116" s="14"/>
      <c r="BC116" s="14"/>
      <c r="BD116" s="14"/>
      <c r="BE116" s="14"/>
      <c r="BF116" s="14"/>
      <c r="BG116" s="14"/>
      <c r="BH116" s="14"/>
      <c r="BI116" s="14"/>
      <c r="BJ116" s="14"/>
      <c r="BK116" s="14"/>
      <c r="BL116" s="14"/>
      <c r="BM116" s="14"/>
      <c r="BN116" s="14"/>
      <c r="BO116" s="14"/>
      <c r="BP116" s="14"/>
      <c r="BQ116" s="14"/>
      <c r="BR116" s="14"/>
      <c r="BS116" s="14"/>
      <c r="BT116" s="14"/>
      <c r="BU116" s="14"/>
      <c r="BV116" s="14"/>
      <c r="BW116" s="14"/>
      <c r="BX116" s="14"/>
      <c r="BY116" s="14"/>
      <c r="BZ116" s="14"/>
      <c r="CA116" s="14"/>
      <c r="CB116" s="14"/>
      <c r="CC116" s="14"/>
      <c r="CD116" s="14"/>
      <c r="CE116" s="14"/>
      <c r="CF116" s="14"/>
      <c r="CG116" s="91"/>
      <c r="CH116" s="91"/>
      <c r="CI116" s="91"/>
      <c r="CJ116" s="91"/>
      <c r="CK116" s="91"/>
      <c r="CL116" s="91"/>
      <c r="CM116" s="91"/>
      <c r="CN116" s="91"/>
      <c r="CO116" s="91"/>
      <c r="CP116" s="91"/>
      <c r="CQ116" s="91"/>
      <c r="CR116" s="91"/>
      <c r="CS116" s="91"/>
      <c r="CT116" s="91"/>
      <c r="CU116" s="91"/>
      <c r="CV116" s="91"/>
    </row>
    <row r="117" spans="1:100" x14ac:dyDescent="0.2">
      <c r="A117" s="14"/>
      <c r="B117" s="14"/>
      <c r="C117" s="14"/>
      <c r="D117" s="14"/>
      <c r="E117" s="14"/>
      <c r="F117" s="14"/>
      <c r="G117" s="14"/>
      <c r="H117" s="14"/>
      <c r="I117" s="14"/>
      <c r="J117" s="14"/>
      <c r="K117" s="86"/>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14"/>
      <c r="AX117" s="14"/>
      <c r="AY117" s="14"/>
      <c r="AZ117" s="14"/>
      <c r="BA117" s="14"/>
      <c r="BB117" s="14"/>
      <c r="BC117" s="14"/>
      <c r="BD117" s="14"/>
      <c r="BE117" s="14"/>
      <c r="BF117" s="14"/>
      <c r="BG117" s="14"/>
      <c r="BH117" s="14"/>
      <c r="BI117" s="14"/>
      <c r="BJ117" s="14"/>
      <c r="BK117" s="14"/>
      <c r="BL117" s="14"/>
      <c r="BM117" s="14"/>
      <c r="BN117" s="14"/>
      <c r="BO117" s="14"/>
      <c r="BP117" s="14"/>
      <c r="BQ117" s="14"/>
      <c r="BR117" s="14"/>
      <c r="BS117" s="14"/>
      <c r="BT117" s="14"/>
      <c r="BU117" s="14"/>
      <c r="BV117" s="14"/>
      <c r="BW117" s="14"/>
      <c r="BX117" s="14"/>
      <c r="BY117" s="14"/>
      <c r="BZ117" s="14"/>
      <c r="CA117" s="14"/>
      <c r="CB117" s="14"/>
      <c r="CC117" s="14"/>
      <c r="CD117" s="14"/>
      <c r="CE117" s="14"/>
      <c r="CF117" s="14"/>
      <c r="CG117" s="91"/>
      <c r="CH117" s="91"/>
      <c r="CI117" s="91"/>
      <c r="CJ117" s="91"/>
      <c r="CK117" s="91"/>
      <c r="CL117" s="91"/>
      <c r="CM117" s="91"/>
      <c r="CN117" s="91"/>
      <c r="CO117" s="91"/>
      <c r="CP117" s="91"/>
      <c r="CQ117" s="91"/>
      <c r="CR117" s="91"/>
      <c r="CS117" s="91"/>
      <c r="CT117" s="91"/>
      <c r="CU117" s="91"/>
      <c r="CV117" s="91"/>
    </row>
    <row r="118" spans="1:100" x14ac:dyDescent="0.2">
      <c r="A118" s="14"/>
      <c r="B118" s="14"/>
      <c r="C118" s="14"/>
      <c r="D118" s="14"/>
      <c r="E118" s="14"/>
      <c r="F118" s="14"/>
      <c r="G118" s="14"/>
      <c r="H118" s="14"/>
      <c r="I118" s="14"/>
      <c r="J118" s="14"/>
      <c r="K118" s="86"/>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14"/>
      <c r="AX118" s="14"/>
      <c r="AY118" s="14"/>
      <c r="AZ118" s="14"/>
      <c r="BA118" s="14"/>
      <c r="BB118" s="14"/>
      <c r="BC118" s="14"/>
      <c r="BD118" s="14"/>
      <c r="BE118" s="14"/>
      <c r="BF118" s="14"/>
      <c r="BG118" s="14"/>
      <c r="BH118" s="14"/>
      <c r="BI118" s="14"/>
      <c r="BJ118" s="14"/>
      <c r="BK118" s="14"/>
      <c r="BL118" s="14"/>
      <c r="BM118" s="14"/>
      <c r="BN118" s="14"/>
      <c r="BO118" s="14"/>
      <c r="BP118" s="14"/>
      <c r="BQ118" s="14"/>
      <c r="BR118" s="14"/>
      <c r="BS118" s="14"/>
      <c r="BT118" s="14"/>
      <c r="BU118" s="14"/>
      <c r="BV118" s="14"/>
      <c r="BW118" s="14"/>
      <c r="BX118" s="14"/>
      <c r="BY118" s="14"/>
      <c r="BZ118" s="14"/>
      <c r="CA118" s="14"/>
      <c r="CB118" s="14"/>
      <c r="CC118" s="14"/>
      <c r="CD118" s="14"/>
      <c r="CE118" s="14"/>
      <c r="CF118" s="14"/>
      <c r="CG118" s="91"/>
      <c r="CH118" s="91"/>
      <c r="CI118" s="91"/>
      <c r="CJ118" s="91"/>
      <c r="CK118" s="91"/>
      <c r="CL118" s="91"/>
      <c r="CM118" s="91"/>
      <c r="CN118" s="91"/>
      <c r="CO118" s="91"/>
      <c r="CP118" s="91"/>
      <c r="CQ118" s="91"/>
      <c r="CR118" s="91"/>
      <c r="CS118" s="91"/>
      <c r="CT118" s="91"/>
      <c r="CU118" s="91"/>
      <c r="CV118" s="91"/>
    </row>
    <row r="119" spans="1:100" x14ac:dyDescent="0.2">
      <c r="A119" s="14"/>
      <c r="B119" s="14"/>
      <c r="C119" s="14"/>
      <c r="D119" s="14"/>
      <c r="E119" s="14"/>
      <c r="F119" s="14"/>
      <c r="G119" s="14"/>
      <c r="H119" s="14"/>
      <c r="I119" s="14"/>
      <c r="J119" s="14"/>
      <c r="K119" s="86"/>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14"/>
      <c r="AX119" s="14"/>
      <c r="AY119" s="14"/>
      <c r="AZ119" s="14"/>
      <c r="BA119" s="14"/>
      <c r="BB119" s="14"/>
      <c r="BC119" s="14"/>
      <c r="BD119" s="14"/>
      <c r="BE119" s="14"/>
      <c r="BF119" s="14"/>
      <c r="BG119" s="14"/>
      <c r="BH119" s="14"/>
      <c r="BI119" s="14"/>
      <c r="BJ119" s="14"/>
      <c r="BK119" s="14"/>
      <c r="BL119" s="14"/>
      <c r="BM119" s="14"/>
      <c r="BN119" s="14"/>
      <c r="BO119" s="14"/>
      <c r="BP119" s="14"/>
      <c r="BQ119" s="14"/>
      <c r="BR119" s="14"/>
      <c r="BS119" s="14"/>
      <c r="BT119" s="14"/>
      <c r="BU119" s="14"/>
      <c r="BV119" s="14"/>
      <c r="BW119" s="14"/>
      <c r="BX119" s="14"/>
      <c r="BY119" s="14"/>
      <c r="BZ119" s="14"/>
      <c r="CA119" s="14"/>
      <c r="CB119" s="14"/>
      <c r="CC119" s="14"/>
      <c r="CD119" s="14"/>
      <c r="CE119" s="14"/>
      <c r="CF119" s="14"/>
      <c r="CG119" s="91"/>
      <c r="CH119" s="91"/>
      <c r="CI119" s="91"/>
      <c r="CJ119" s="91"/>
      <c r="CK119" s="91"/>
      <c r="CL119" s="91"/>
      <c r="CM119" s="91"/>
      <c r="CN119" s="91"/>
      <c r="CO119" s="91"/>
      <c r="CP119" s="91"/>
      <c r="CQ119" s="91"/>
      <c r="CR119" s="91"/>
      <c r="CS119" s="91"/>
      <c r="CT119" s="91"/>
      <c r="CU119" s="91"/>
      <c r="CV119" s="91"/>
    </row>
    <row r="120" spans="1:100" x14ac:dyDescent="0.2">
      <c r="A120" s="14"/>
      <c r="B120" s="14"/>
      <c r="C120" s="14"/>
      <c r="D120" s="14"/>
      <c r="E120" s="14"/>
      <c r="F120" s="14"/>
      <c r="G120" s="14"/>
      <c r="H120" s="14"/>
      <c r="I120" s="14"/>
      <c r="J120" s="14"/>
      <c r="K120" s="86"/>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4"/>
      <c r="BT120" s="14"/>
      <c r="BU120" s="14"/>
      <c r="BV120" s="14"/>
      <c r="BW120" s="14"/>
      <c r="BX120" s="14"/>
      <c r="BY120" s="14"/>
      <c r="BZ120" s="14"/>
      <c r="CA120" s="14"/>
      <c r="CB120" s="14"/>
      <c r="CC120" s="14"/>
      <c r="CD120" s="14"/>
      <c r="CE120" s="14"/>
      <c r="CF120" s="14"/>
      <c r="CG120" s="91"/>
      <c r="CH120" s="91"/>
      <c r="CI120" s="91"/>
      <c r="CJ120" s="91"/>
      <c r="CK120" s="91"/>
      <c r="CL120" s="91"/>
      <c r="CM120" s="91"/>
      <c r="CN120" s="91"/>
      <c r="CO120" s="91"/>
      <c r="CP120" s="91"/>
      <c r="CQ120" s="91"/>
      <c r="CR120" s="91"/>
      <c r="CS120" s="91"/>
      <c r="CT120" s="91"/>
      <c r="CU120" s="91"/>
      <c r="CV120" s="91"/>
    </row>
    <row r="121" spans="1:100" x14ac:dyDescent="0.2">
      <c r="A121" s="14"/>
      <c r="B121" s="14"/>
      <c r="C121" s="14"/>
      <c r="D121" s="14"/>
      <c r="E121" s="14"/>
      <c r="F121" s="14"/>
      <c r="G121" s="14"/>
      <c r="H121" s="14"/>
      <c r="I121" s="14"/>
      <c r="J121" s="14"/>
      <c r="K121" s="86"/>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4"/>
      <c r="BT121" s="14"/>
      <c r="BU121" s="14"/>
      <c r="BV121" s="14"/>
      <c r="BW121" s="14"/>
      <c r="BX121" s="14"/>
      <c r="BY121" s="14"/>
      <c r="BZ121" s="14"/>
      <c r="CA121" s="14"/>
      <c r="CB121" s="14"/>
      <c r="CC121" s="14"/>
      <c r="CD121" s="14"/>
      <c r="CE121" s="14"/>
      <c r="CF121" s="14"/>
      <c r="CG121" s="91"/>
      <c r="CH121" s="91"/>
      <c r="CI121" s="91"/>
      <c r="CJ121" s="91"/>
      <c r="CK121" s="91"/>
      <c r="CL121" s="91"/>
      <c r="CM121" s="91"/>
      <c r="CN121" s="91"/>
      <c r="CO121" s="91"/>
      <c r="CP121" s="91"/>
      <c r="CQ121" s="91"/>
      <c r="CR121" s="91"/>
      <c r="CS121" s="91"/>
      <c r="CT121" s="91"/>
      <c r="CU121" s="91"/>
      <c r="CV121" s="91"/>
    </row>
    <row r="122" spans="1:100" x14ac:dyDescent="0.2">
      <c r="A122" s="14"/>
      <c r="B122" s="14"/>
      <c r="C122" s="14"/>
      <c r="D122" s="14"/>
      <c r="E122" s="14"/>
      <c r="F122" s="14"/>
      <c r="G122" s="14"/>
      <c r="H122" s="14"/>
      <c r="I122" s="14"/>
      <c r="J122" s="14"/>
      <c r="K122" s="86"/>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c r="BW122" s="14"/>
      <c r="BX122" s="14"/>
      <c r="BY122" s="14"/>
      <c r="BZ122" s="14"/>
      <c r="CA122" s="14"/>
      <c r="CB122" s="14"/>
      <c r="CC122" s="14"/>
      <c r="CD122" s="14"/>
      <c r="CE122" s="14"/>
      <c r="CF122" s="14"/>
      <c r="CG122" s="91"/>
      <c r="CH122" s="91"/>
      <c r="CI122" s="91"/>
      <c r="CJ122" s="91"/>
      <c r="CK122" s="91"/>
      <c r="CL122" s="91"/>
      <c r="CM122" s="91"/>
      <c r="CN122" s="91"/>
      <c r="CO122" s="91"/>
      <c r="CP122" s="91"/>
      <c r="CQ122" s="91"/>
      <c r="CR122" s="91"/>
      <c r="CS122" s="91"/>
      <c r="CT122" s="91"/>
      <c r="CU122" s="91"/>
      <c r="CV122" s="91"/>
    </row>
    <row r="123" spans="1:100" x14ac:dyDescent="0.2">
      <c r="A123" s="14"/>
      <c r="B123" s="14"/>
      <c r="C123" s="14"/>
      <c r="D123" s="14"/>
      <c r="E123" s="14"/>
      <c r="F123" s="14"/>
      <c r="G123" s="14"/>
      <c r="H123" s="14"/>
      <c r="I123" s="14"/>
      <c r="J123" s="14"/>
      <c r="K123" s="86"/>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c r="BW123" s="14"/>
      <c r="BX123" s="14"/>
      <c r="BY123" s="14"/>
      <c r="BZ123" s="14"/>
      <c r="CA123" s="14"/>
      <c r="CB123" s="14"/>
      <c r="CC123" s="14"/>
      <c r="CD123" s="14"/>
      <c r="CE123" s="14"/>
      <c r="CF123" s="14"/>
      <c r="CG123" s="91"/>
      <c r="CH123" s="91"/>
      <c r="CI123" s="91"/>
      <c r="CJ123" s="91"/>
      <c r="CK123" s="91"/>
      <c r="CL123" s="91"/>
      <c r="CM123" s="91"/>
      <c r="CN123" s="91"/>
      <c r="CO123" s="91"/>
      <c r="CP123" s="91"/>
      <c r="CQ123" s="91"/>
      <c r="CR123" s="91"/>
      <c r="CS123" s="91"/>
      <c r="CT123" s="91"/>
      <c r="CU123" s="91"/>
      <c r="CV123" s="91"/>
    </row>
    <row r="124" spans="1:100" x14ac:dyDescent="0.2">
      <c r="A124" s="14"/>
      <c r="B124" s="14"/>
      <c r="C124" s="14"/>
      <c r="D124" s="14"/>
      <c r="E124" s="14"/>
      <c r="F124" s="14"/>
      <c r="G124" s="14"/>
      <c r="H124" s="14"/>
      <c r="I124" s="14"/>
      <c r="J124" s="14"/>
      <c r="K124" s="86"/>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14"/>
      <c r="AX124" s="14"/>
      <c r="AY124" s="14"/>
      <c r="AZ124" s="14"/>
      <c r="BA124" s="14"/>
      <c r="BB124" s="14"/>
      <c r="BC124" s="14"/>
      <c r="BD124" s="14"/>
      <c r="BE124" s="14"/>
      <c r="BF124" s="14"/>
      <c r="BG124" s="14"/>
      <c r="BH124" s="14"/>
      <c r="BI124" s="14"/>
      <c r="BJ124" s="14"/>
      <c r="BK124" s="14"/>
      <c r="BL124" s="14"/>
      <c r="BM124" s="14"/>
      <c r="BN124" s="14"/>
      <c r="BO124" s="14"/>
      <c r="BP124" s="14"/>
      <c r="BQ124" s="14"/>
      <c r="BR124" s="14"/>
      <c r="BS124" s="14"/>
      <c r="BT124" s="14"/>
      <c r="BU124" s="14"/>
      <c r="BV124" s="14"/>
      <c r="BW124" s="14"/>
      <c r="BX124" s="14"/>
      <c r="BY124" s="14"/>
      <c r="BZ124" s="14"/>
      <c r="CA124" s="14"/>
      <c r="CB124" s="14"/>
      <c r="CC124" s="14"/>
      <c r="CD124" s="14"/>
      <c r="CE124" s="14"/>
      <c r="CF124" s="14"/>
      <c r="CG124" s="91"/>
      <c r="CH124" s="91"/>
      <c r="CI124" s="91"/>
      <c r="CJ124" s="91"/>
      <c r="CK124" s="91"/>
      <c r="CL124" s="91"/>
      <c r="CM124" s="91"/>
      <c r="CN124" s="91"/>
      <c r="CO124" s="91"/>
      <c r="CP124" s="91"/>
      <c r="CQ124" s="91"/>
      <c r="CR124" s="91"/>
      <c r="CS124" s="91"/>
      <c r="CT124" s="91"/>
      <c r="CU124" s="91"/>
      <c r="CV124" s="91"/>
    </row>
    <row r="125" spans="1:100" x14ac:dyDescent="0.2">
      <c r="A125" s="14"/>
      <c r="B125" s="14"/>
      <c r="C125" s="14"/>
      <c r="D125" s="14"/>
      <c r="E125" s="14"/>
      <c r="F125" s="14"/>
      <c r="G125" s="14"/>
      <c r="H125" s="14"/>
      <c r="I125" s="14"/>
      <c r="J125" s="14"/>
      <c r="K125" s="86"/>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14"/>
      <c r="AX125" s="14"/>
      <c r="AY125" s="14"/>
      <c r="AZ125" s="14"/>
      <c r="BA125" s="14"/>
      <c r="BB125" s="14"/>
      <c r="BC125" s="14"/>
      <c r="BD125" s="14"/>
      <c r="BE125" s="14"/>
      <c r="BF125" s="14"/>
      <c r="BG125" s="14"/>
      <c r="BH125" s="14"/>
      <c r="BI125" s="14"/>
      <c r="BJ125" s="14"/>
      <c r="BK125" s="14"/>
      <c r="BL125" s="14"/>
      <c r="BM125" s="14"/>
      <c r="BN125" s="14"/>
      <c r="BO125" s="14"/>
      <c r="BP125" s="14"/>
      <c r="BQ125" s="14"/>
      <c r="BR125" s="14"/>
      <c r="BS125" s="14"/>
      <c r="BT125" s="14"/>
      <c r="BU125" s="14"/>
      <c r="BV125" s="14"/>
      <c r="BW125" s="14"/>
      <c r="BX125" s="14"/>
      <c r="BY125" s="14"/>
      <c r="BZ125" s="14"/>
      <c r="CA125" s="14"/>
      <c r="CB125" s="14"/>
      <c r="CC125" s="14"/>
      <c r="CD125" s="14"/>
      <c r="CE125" s="14"/>
      <c r="CF125" s="14"/>
      <c r="CG125" s="91"/>
      <c r="CH125" s="91"/>
      <c r="CI125" s="91"/>
      <c r="CJ125" s="91"/>
      <c r="CK125" s="91"/>
      <c r="CL125" s="91"/>
      <c r="CM125" s="91"/>
      <c r="CN125" s="91"/>
      <c r="CO125" s="91"/>
      <c r="CP125" s="91"/>
      <c r="CQ125" s="91"/>
      <c r="CR125" s="91"/>
      <c r="CS125" s="91"/>
      <c r="CT125" s="91"/>
      <c r="CU125" s="91"/>
      <c r="CV125" s="91"/>
    </row>
    <row r="126" spans="1:100" x14ac:dyDescent="0.2">
      <c r="A126" s="14"/>
      <c r="B126" s="14"/>
      <c r="C126" s="14"/>
      <c r="D126" s="14"/>
      <c r="E126" s="14"/>
      <c r="F126" s="14"/>
      <c r="G126" s="14"/>
      <c r="H126" s="14"/>
      <c r="I126" s="14"/>
      <c r="J126" s="14"/>
      <c r="K126" s="86"/>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14"/>
      <c r="AX126" s="14"/>
      <c r="AY126" s="14"/>
      <c r="AZ126" s="14"/>
      <c r="BA126" s="14"/>
      <c r="BB126" s="14"/>
      <c r="BC126" s="14"/>
      <c r="BD126" s="14"/>
      <c r="BE126" s="14"/>
      <c r="BF126" s="14"/>
      <c r="BG126" s="14"/>
      <c r="BH126" s="14"/>
      <c r="BI126" s="14"/>
      <c r="BJ126" s="14"/>
      <c r="BK126" s="14"/>
      <c r="BL126" s="14"/>
      <c r="BM126" s="14"/>
      <c r="BN126" s="14"/>
      <c r="BO126" s="14"/>
      <c r="BP126" s="14"/>
      <c r="BQ126" s="14"/>
      <c r="BR126" s="14"/>
      <c r="BS126" s="14"/>
      <c r="BT126" s="14"/>
      <c r="BU126" s="14"/>
      <c r="BV126" s="14"/>
      <c r="BW126" s="14"/>
      <c r="BX126" s="14"/>
      <c r="BY126" s="14"/>
      <c r="BZ126" s="14"/>
      <c r="CA126" s="14"/>
      <c r="CB126" s="14"/>
      <c r="CC126" s="14"/>
      <c r="CD126" s="14"/>
      <c r="CE126" s="14"/>
      <c r="CF126" s="14"/>
      <c r="CG126" s="91"/>
      <c r="CH126" s="91"/>
      <c r="CI126" s="91"/>
      <c r="CJ126" s="91"/>
      <c r="CK126" s="91"/>
      <c r="CL126" s="91"/>
      <c r="CM126" s="91"/>
      <c r="CN126" s="91"/>
      <c r="CO126" s="91"/>
      <c r="CP126" s="91"/>
      <c r="CQ126" s="91"/>
      <c r="CR126" s="91"/>
      <c r="CS126" s="91"/>
      <c r="CT126" s="91"/>
      <c r="CU126" s="91"/>
      <c r="CV126" s="91"/>
    </row>
    <row r="127" spans="1:100" x14ac:dyDescent="0.2">
      <c r="A127" s="14"/>
      <c r="B127" s="14"/>
      <c r="C127" s="14"/>
      <c r="D127" s="14"/>
      <c r="E127" s="14"/>
      <c r="F127" s="14"/>
      <c r="G127" s="14"/>
      <c r="H127" s="14"/>
      <c r="I127" s="14"/>
      <c r="J127" s="14"/>
      <c r="K127" s="86"/>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14"/>
      <c r="AX127" s="14"/>
      <c r="AY127" s="14"/>
      <c r="AZ127" s="14"/>
      <c r="BA127" s="14"/>
      <c r="BB127" s="14"/>
      <c r="BC127" s="14"/>
      <c r="BD127" s="14"/>
      <c r="BE127" s="14"/>
      <c r="BF127" s="14"/>
      <c r="BG127" s="14"/>
      <c r="BH127" s="14"/>
      <c r="BI127" s="14"/>
      <c r="BJ127" s="14"/>
      <c r="BK127" s="14"/>
      <c r="BL127" s="14"/>
      <c r="BM127" s="14"/>
      <c r="BN127" s="14"/>
      <c r="BO127" s="14"/>
      <c r="BP127" s="14"/>
      <c r="BQ127" s="14"/>
      <c r="BR127" s="14"/>
      <c r="BS127" s="14"/>
      <c r="BT127" s="14"/>
      <c r="BU127" s="14"/>
      <c r="BV127" s="14"/>
      <c r="BW127" s="14"/>
      <c r="BX127" s="14"/>
      <c r="BY127" s="14"/>
      <c r="BZ127" s="14"/>
      <c r="CA127" s="14"/>
      <c r="CB127" s="14"/>
      <c r="CC127" s="14"/>
      <c r="CD127" s="14"/>
      <c r="CE127" s="14"/>
      <c r="CF127" s="14"/>
      <c r="CG127" s="91"/>
      <c r="CH127" s="91"/>
      <c r="CI127" s="91"/>
      <c r="CJ127" s="91"/>
      <c r="CK127" s="91"/>
      <c r="CL127" s="91"/>
      <c r="CM127" s="91"/>
      <c r="CN127" s="91"/>
      <c r="CO127" s="91"/>
      <c r="CP127" s="91"/>
      <c r="CQ127" s="91"/>
      <c r="CR127" s="91"/>
      <c r="CS127" s="91"/>
      <c r="CT127" s="91"/>
      <c r="CU127" s="91"/>
      <c r="CV127" s="91"/>
    </row>
    <row r="128" spans="1:100" x14ac:dyDescent="0.2">
      <c r="A128" s="14"/>
      <c r="B128" s="14"/>
      <c r="C128" s="14"/>
      <c r="D128" s="14"/>
      <c r="E128" s="14"/>
      <c r="F128" s="14"/>
      <c r="G128" s="14"/>
      <c r="H128" s="14"/>
      <c r="I128" s="14"/>
      <c r="J128" s="14"/>
      <c r="K128" s="86"/>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14"/>
      <c r="AX128" s="14"/>
      <c r="AY128" s="14"/>
      <c r="AZ128" s="14"/>
      <c r="BA128" s="14"/>
      <c r="BB128" s="14"/>
      <c r="BC128" s="14"/>
      <c r="BD128" s="14"/>
      <c r="BE128" s="14"/>
      <c r="BF128" s="14"/>
      <c r="BG128" s="14"/>
      <c r="BH128" s="14"/>
      <c r="BI128" s="14"/>
      <c r="BJ128" s="14"/>
      <c r="BK128" s="14"/>
      <c r="BL128" s="14"/>
      <c r="BM128" s="14"/>
      <c r="BN128" s="14"/>
      <c r="BO128" s="14"/>
      <c r="BP128" s="14"/>
      <c r="BQ128" s="14"/>
      <c r="BR128" s="14"/>
      <c r="BS128" s="14"/>
      <c r="BT128" s="14"/>
      <c r="BU128" s="14"/>
      <c r="BV128" s="14"/>
      <c r="BW128" s="14"/>
      <c r="BX128" s="14"/>
      <c r="BY128" s="14"/>
      <c r="BZ128" s="14"/>
      <c r="CA128" s="14"/>
      <c r="CB128" s="14"/>
      <c r="CC128" s="14"/>
      <c r="CD128" s="14"/>
      <c r="CE128" s="14"/>
      <c r="CF128" s="14"/>
      <c r="CG128" s="91"/>
      <c r="CH128" s="91"/>
      <c r="CI128" s="91"/>
      <c r="CJ128" s="91"/>
      <c r="CK128" s="91"/>
      <c r="CL128" s="91"/>
      <c r="CM128" s="91"/>
      <c r="CN128" s="91"/>
      <c r="CO128" s="91"/>
      <c r="CP128" s="91"/>
      <c r="CQ128" s="91"/>
      <c r="CR128" s="91"/>
      <c r="CS128" s="91"/>
      <c r="CT128" s="91"/>
      <c r="CU128" s="91"/>
      <c r="CV128" s="91"/>
    </row>
    <row r="129" spans="1:100" x14ac:dyDescent="0.2">
      <c r="A129" s="14"/>
      <c r="B129" s="14"/>
      <c r="C129" s="14"/>
      <c r="D129" s="14"/>
      <c r="E129" s="14"/>
      <c r="F129" s="14"/>
      <c r="G129" s="14"/>
      <c r="H129" s="14"/>
      <c r="I129" s="14"/>
      <c r="J129" s="14"/>
      <c r="K129" s="86"/>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4"/>
      <c r="BT129" s="14"/>
      <c r="BU129" s="14"/>
      <c r="BV129" s="14"/>
      <c r="BW129" s="14"/>
      <c r="BX129" s="14"/>
      <c r="BY129" s="14"/>
      <c r="BZ129" s="14"/>
      <c r="CA129" s="14"/>
      <c r="CB129" s="14"/>
      <c r="CC129" s="14"/>
      <c r="CD129" s="14"/>
      <c r="CE129" s="14"/>
      <c r="CF129" s="14"/>
      <c r="CG129" s="91"/>
      <c r="CH129" s="91"/>
      <c r="CI129" s="91"/>
      <c r="CJ129" s="91"/>
      <c r="CK129" s="91"/>
      <c r="CL129" s="91"/>
      <c r="CM129" s="91"/>
      <c r="CN129" s="91"/>
      <c r="CO129" s="91"/>
      <c r="CP129" s="91"/>
      <c r="CQ129" s="91"/>
      <c r="CR129" s="91"/>
      <c r="CS129" s="91"/>
      <c r="CT129" s="91"/>
      <c r="CU129" s="91"/>
      <c r="CV129" s="91"/>
    </row>
    <row r="130" spans="1:100" x14ac:dyDescent="0.2">
      <c r="A130" s="14"/>
      <c r="B130" s="14"/>
      <c r="C130" s="14"/>
      <c r="D130" s="14"/>
      <c r="E130" s="14"/>
      <c r="F130" s="14"/>
      <c r="G130" s="14"/>
      <c r="H130" s="14"/>
      <c r="I130" s="14"/>
      <c r="J130" s="14"/>
      <c r="K130" s="86"/>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4"/>
      <c r="BT130" s="14"/>
      <c r="BU130" s="14"/>
      <c r="BV130" s="14"/>
      <c r="BW130" s="14"/>
      <c r="BX130" s="14"/>
      <c r="BY130" s="14"/>
      <c r="BZ130" s="14"/>
      <c r="CA130" s="14"/>
      <c r="CB130" s="14"/>
      <c r="CC130" s="14"/>
      <c r="CD130" s="14"/>
      <c r="CE130" s="14"/>
      <c r="CF130" s="14"/>
      <c r="CG130" s="91"/>
      <c r="CH130" s="91"/>
      <c r="CI130" s="91"/>
      <c r="CJ130" s="91"/>
      <c r="CK130" s="91"/>
      <c r="CL130" s="91"/>
      <c r="CM130" s="91"/>
      <c r="CN130" s="91"/>
      <c r="CO130" s="91"/>
      <c r="CP130" s="91"/>
      <c r="CQ130" s="91"/>
      <c r="CR130" s="91"/>
      <c r="CS130" s="91"/>
      <c r="CT130" s="91"/>
      <c r="CU130" s="91"/>
      <c r="CV130" s="91"/>
    </row>
    <row r="131" spans="1:100" x14ac:dyDescent="0.2">
      <c r="A131" s="14"/>
      <c r="B131" s="14"/>
      <c r="C131" s="14"/>
      <c r="D131" s="14"/>
      <c r="E131" s="14"/>
      <c r="F131" s="14"/>
      <c r="G131" s="14"/>
      <c r="H131" s="14"/>
      <c r="I131" s="14"/>
      <c r="J131" s="14"/>
      <c r="K131" s="86"/>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4"/>
      <c r="BT131" s="14"/>
      <c r="BU131" s="14"/>
      <c r="BV131" s="14"/>
      <c r="BW131" s="14"/>
      <c r="BX131" s="14"/>
      <c r="BY131" s="14"/>
      <c r="BZ131" s="14"/>
      <c r="CA131" s="14"/>
      <c r="CB131" s="14"/>
      <c r="CC131" s="14"/>
      <c r="CD131" s="14"/>
      <c r="CE131" s="14"/>
      <c r="CF131" s="14"/>
      <c r="CG131" s="91"/>
      <c r="CH131" s="91"/>
      <c r="CI131" s="91"/>
      <c r="CJ131" s="91"/>
      <c r="CK131" s="91"/>
      <c r="CL131" s="91"/>
      <c r="CM131" s="91"/>
      <c r="CN131" s="91"/>
      <c r="CO131" s="91"/>
      <c r="CP131" s="91"/>
      <c r="CQ131" s="91"/>
      <c r="CR131" s="91"/>
      <c r="CS131" s="91"/>
      <c r="CT131" s="91"/>
      <c r="CU131" s="91"/>
      <c r="CV131" s="91"/>
    </row>
    <row r="132" spans="1:100" x14ac:dyDescent="0.2">
      <c r="A132" s="14"/>
      <c r="B132" s="14"/>
      <c r="C132" s="14"/>
      <c r="D132" s="14"/>
      <c r="E132" s="14"/>
      <c r="F132" s="14"/>
      <c r="G132" s="14"/>
      <c r="H132" s="14"/>
      <c r="I132" s="14"/>
      <c r="J132" s="14"/>
      <c r="K132" s="86"/>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c r="BW132" s="14"/>
      <c r="BX132" s="14"/>
      <c r="BY132" s="14"/>
      <c r="BZ132" s="14"/>
      <c r="CA132" s="14"/>
      <c r="CB132" s="14"/>
      <c r="CC132" s="14"/>
      <c r="CD132" s="14"/>
      <c r="CE132" s="14"/>
      <c r="CF132" s="14"/>
      <c r="CG132" s="91"/>
      <c r="CH132" s="91"/>
      <c r="CI132" s="91"/>
      <c r="CJ132" s="91"/>
      <c r="CK132" s="91"/>
      <c r="CL132" s="91"/>
      <c r="CM132" s="91"/>
      <c r="CN132" s="91"/>
      <c r="CO132" s="91"/>
      <c r="CP132" s="91"/>
      <c r="CQ132" s="91"/>
      <c r="CR132" s="91"/>
      <c r="CS132" s="91"/>
      <c r="CT132" s="91"/>
      <c r="CU132" s="91"/>
      <c r="CV132" s="91"/>
    </row>
    <row r="133" spans="1:100" x14ac:dyDescent="0.2">
      <c r="A133" s="14"/>
      <c r="B133" s="14"/>
      <c r="C133" s="14"/>
      <c r="D133" s="14"/>
      <c r="E133" s="14"/>
      <c r="F133" s="14"/>
      <c r="G133" s="14"/>
      <c r="H133" s="14"/>
      <c r="I133" s="14"/>
      <c r="J133" s="14"/>
      <c r="K133" s="86"/>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BV133" s="14"/>
      <c r="BW133" s="14"/>
      <c r="BX133" s="14"/>
      <c r="BY133" s="14"/>
      <c r="BZ133" s="14"/>
      <c r="CA133" s="14"/>
      <c r="CB133" s="14"/>
      <c r="CC133" s="14"/>
      <c r="CD133" s="14"/>
      <c r="CE133" s="14"/>
      <c r="CF133" s="14"/>
      <c r="CG133" s="91"/>
      <c r="CH133" s="91"/>
      <c r="CI133" s="91"/>
      <c r="CJ133" s="91"/>
      <c r="CK133" s="91"/>
      <c r="CL133" s="91"/>
      <c r="CM133" s="91"/>
      <c r="CN133" s="91"/>
      <c r="CO133" s="91"/>
      <c r="CP133" s="91"/>
      <c r="CQ133" s="91"/>
      <c r="CR133" s="91"/>
      <c r="CS133" s="91"/>
      <c r="CT133" s="91"/>
      <c r="CU133" s="91"/>
      <c r="CV133" s="91"/>
    </row>
    <row r="134" spans="1:100" x14ac:dyDescent="0.2">
      <c r="A134" s="14"/>
      <c r="B134" s="14"/>
      <c r="C134" s="14"/>
      <c r="D134" s="14"/>
      <c r="E134" s="14"/>
      <c r="F134" s="14"/>
      <c r="G134" s="14"/>
      <c r="H134" s="14"/>
      <c r="I134" s="14"/>
      <c r="J134" s="14"/>
      <c r="K134" s="86"/>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BV134" s="14"/>
      <c r="BW134" s="14"/>
      <c r="BX134" s="14"/>
      <c r="BY134" s="14"/>
      <c r="BZ134" s="14"/>
      <c r="CA134" s="14"/>
      <c r="CB134" s="14"/>
      <c r="CC134" s="14"/>
      <c r="CD134" s="14"/>
      <c r="CE134" s="14"/>
      <c r="CF134" s="14"/>
      <c r="CG134" s="91"/>
      <c r="CH134" s="91"/>
      <c r="CI134" s="91"/>
      <c r="CJ134" s="91"/>
      <c r="CK134" s="91"/>
      <c r="CL134" s="91"/>
      <c r="CM134" s="91"/>
      <c r="CN134" s="91"/>
      <c r="CO134" s="91"/>
      <c r="CP134" s="91"/>
      <c r="CQ134" s="91"/>
      <c r="CR134" s="91"/>
      <c r="CS134" s="91"/>
      <c r="CT134" s="91"/>
      <c r="CU134" s="91"/>
      <c r="CV134" s="91"/>
    </row>
    <row r="135" spans="1:100" x14ac:dyDescent="0.2">
      <c r="A135" s="14"/>
      <c r="B135" s="14"/>
      <c r="C135" s="14"/>
      <c r="D135" s="14"/>
      <c r="E135" s="14"/>
      <c r="F135" s="14"/>
      <c r="G135" s="14"/>
      <c r="H135" s="14"/>
      <c r="I135" s="14"/>
      <c r="J135" s="14"/>
      <c r="K135" s="86"/>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BV135" s="14"/>
      <c r="BW135" s="14"/>
      <c r="BX135" s="14"/>
      <c r="BY135" s="14"/>
      <c r="BZ135" s="14"/>
      <c r="CA135" s="14"/>
      <c r="CB135" s="14"/>
      <c r="CC135" s="14"/>
      <c r="CD135" s="14"/>
      <c r="CE135" s="14"/>
      <c r="CF135" s="14"/>
      <c r="CG135" s="91"/>
      <c r="CH135" s="91"/>
      <c r="CI135" s="91"/>
      <c r="CJ135" s="91"/>
      <c r="CK135" s="91"/>
      <c r="CL135" s="91"/>
      <c r="CM135" s="91"/>
      <c r="CN135" s="91"/>
      <c r="CO135" s="91"/>
      <c r="CP135" s="91"/>
      <c r="CQ135" s="91"/>
      <c r="CR135" s="91"/>
      <c r="CS135" s="91"/>
      <c r="CT135" s="91"/>
      <c r="CU135" s="91"/>
      <c r="CV135" s="91"/>
    </row>
    <row r="136" spans="1:100" x14ac:dyDescent="0.2">
      <c r="A136" s="14"/>
      <c r="B136" s="14"/>
      <c r="C136" s="14"/>
      <c r="D136" s="14"/>
      <c r="E136" s="14"/>
      <c r="F136" s="14"/>
      <c r="G136" s="14"/>
      <c r="H136" s="14"/>
      <c r="I136" s="14"/>
      <c r="J136" s="14"/>
      <c r="K136" s="86"/>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14"/>
      <c r="AX136" s="14"/>
      <c r="AY136" s="14"/>
      <c r="AZ136" s="14"/>
      <c r="BA136" s="14"/>
      <c r="BB136" s="14"/>
      <c r="BC136" s="14"/>
      <c r="BD136" s="14"/>
      <c r="BE136" s="14"/>
      <c r="BF136" s="14"/>
      <c r="BG136" s="14"/>
      <c r="BH136" s="14"/>
      <c r="BI136" s="14"/>
      <c r="BJ136" s="14"/>
      <c r="BK136" s="14"/>
      <c r="BL136" s="14"/>
      <c r="BM136" s="14"/>
      <c r="BN136" s="14"/>
      <c r="BO136" s="14"/>
      <c r="BP136" s="14"/>
      <c r="BQ136" s="14"/>
      <c r="BR136" s="14"/>
      <c r="BS136" s="14"/>
      <c r="BT136" s="14"/>
      <c r="BU136" s="14"/>
      <c r="BV136" s="14"/>
      <c r="BW136" s="14"/>
      <c r="BX136" s="14"/>
      <c r="BY136" s="14"/>
      <c r="BZ136" s="14"/>
      <c r="CA136" s="14"/>
      <c r="CB136" s="14"/>
      <c r="CC136" s="14"/>
      <c r="CD136" s="14"/>
      <c r="CE136" s="14"/>
      <c r="CF136" s="14"/>
      <c r="CG136" s="91"/>
      <c r="CH136" s="91"/>
      <c r="CI136" s="91"/>
      <c r="CJ136" s="91"/>
      <c r="CK136" s="91"/>
      <c r="CL136" s="91"/>
      <c r="CM136" s="91"/>
      <c r="CN136" s="91"/>
      <c r="CO136" s="91"/>
      <c r="CP136" s="91"/>
      <c r="CQ136" s="91"/>
      <c r="CR136" s="91"/>
      <c r="CS136" s="91"/>
      <c r="CT136" s="91"/>
      <c r="CU136" s="91"/>
      <c r="CV136" s="91"/>
    </row>
    <row r="137" spans="1:100" x14ac:dyDescent="0.2">
      <c r="A137" s="14"/>
      <c r="B137" s="14"/>
      <c r="C137" s="14"/>
      <c r="D137" s="14"/>
      <c r="E137" s="14"/>
      <c r="F137" s="14"/>
      <c r="G137" s="14"/>
      <c r="H137" s="14"/>
      <c r="I137" s="14"/>
      <c r="J137" s="14"/>
      <c r="K137" s="86"/>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14"/>
      <c r="AX137" s="14"/>
      <c r="AY137" s="14"/>
      <c r="AZ137" s="14"/>
      <c r="BA137" s="14"/>
      <c r="BB137" s="14"/>
      <c r="BC137" s="14"/>
      <c r="BD137" s="14"/>
      <c r="BE137" s="14"/>
      <c r="BF137" s="14"/>
      <c r="BG137" s="14"/>
      <c r="BH137" s="14"/>
      <c r="BI137" s="14"/>
      <c r="BJ137" s="14"/>
      <c r="BK137" s="14"/>
      <c r="BL137" s="14"/>
      <c r="BM137" s="14"/>
      <c r="BN137" s="14"/>
      <c r="BO137" s="14"/>
      <c r="BP137" s="14"/>
      <c r="BQ137" s="14"/>
      <c r="BR137" s="14"/>
      <c r="BS137" s="14"/>
      <c r="BT137" s="14"/>
      <c r="BU137" s="14"/>
      <c r="BV137" s="14"/>
      <c r="BW137" s="14"/>
      <c r="BX137" s="14"/>
      <c r="BY137" s="14"/>
      <c r="BZ137" s="14"/>
      <c r="CA137" s="14"/>
      <c r="CB137" s="14"/>
      <c r="CC137" s="14"/>
      <c r="CD137" s="14"/>
      <c r="CE137" s="14"/>
      <c r="CF137" s="14"/>
      <c r="CG137" s="91"/>
      <c r="CH137" s="91"/>
      <c r="CI137" s="91"/>
      <c r="CJ137" s="91"/>
      <c r="CK137" s="91"/>
      <c r="CL137" s="91"/>
      <c r="CM137" s="91"/>
      <c r="CN137" s="91"/>
      <c r="CO137" s="91"/>
      <c r="CP137" s="91"/>
      <c r="CQ137" s="91"/>
      <c r="CR137" s="91"/>
      <c r="CS137" s="91"/>
      <c r="CT137" s="91"/>
      <c r="CU137" s="91"/>
      <c r="CV137" s="91"/>
    </row>
    <row r="138" spans="1:100" x14ac:dyDescent="0.2">
      <c r="A138" s="14"/>
      <c r="B138" s="14"/>
      <c r="C138" s="14"/>
      <c r="D138" s="14"/>
      <c r="E138" s="14"/>
      <c r="F138" s="14"/>
      <c r="G138" s="14"/>
      <c r="H138" s="14"/>
      <c r="I138" s="14"/>
      <c r="J138" s="14"/>
      <c r="K138" s="86"/>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14"/>
      <c r="AX138" s="14"/>
      <c r="AY138" s="14"/>
      <c r="AZ138" s="14"/>
      <c r="BA138" s="14"/>
      <c r="BB138" s="14"/>
      <c r="BC138" s="14"/>
      <c r="BD138" s="14"/>
      <c r="BE138" s="14"/>
      <c r="BF138" s="14"/>
      <c r="BG138" s="14"/>
      <c r="BH138" s="14"/>
      <c r="BI138" s="14"/>
      <c r="BJ138" s="14"/>
      <c r="BK138" s="14"/>
      <c r="BL138" s="14"/>
      <c r="BM138" s="14"/>
      <c r="BN138" s="14"/>
      <c r="BO138" s="14"/>
      <c r="BP138" s="14"/>
      <c r="BQ138" s="14"/>
      <c r="BR138" s="14"/>
      <c r="BS138" s="14"/>
      <c r="BT138" s="14"/>
      <c r="BU138" s="14"/>
      <c r="BV138" s="14"/>
      <c r="BW138" s="14"/>
      <c r="BX138" s="14"/>
      <c r="BY138" s="14"/>
      <c r="BZ138" s="14"/>
      <c r="CA138" s="14"/>
      <c r="CB138" s="14"/>
      <c r="CC138" s="14"/>
      <c r="CD138" s="14"/>
      <c r="CE138" s="14"/>
      <c r="CF138" s="14"/>
      <c r="CG138" s="91"/>
      <c r="CH138" s="91"/>
      <c r="CI138" s="91"/>
      <c r="CJ138" s="91"/>
      <c r="CK138" s="91"/>
      <c r="CL138" s="91"/>
      <c r="CM138" s="91"/>
      <c r="CN138" s="91"/>
      <c r="CO138" s="91"/>
      <c r="CP138" s="91"/>
      <c r="CQ138" s="91"/>
      <c r="CR138" s="91"/>
      <c r="CS138" s="91"/>
      <c r="CT138" s="91"/>
      <c r="CU138" s="91"/>
      <c r="CV138" s="91"/>
    </row>
    <row r="139" spans="1:100" x14ac:dyDescent="0.2">
      <c r="A139" s="14"/>
      <c r="B139" s="14"/>
      <c r="C139" s="14"/>
      <c r="D139" s="14"/>
      <c r="E139" s="14"/>
      <c r="F139" s="14"/>
      <c r="G139" s="14"/>
      <c r="H139" s="14"/>
      <c r="I139" s="14"/>
      <c r="J139" s="14"/>
      <c r="K139" s="86"/>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4"/>
      <c r="BT139" s="14"/>
      <c r="BU139" s="14"/>
      <c r="BV139" s="14"/>
      <c r="BW139" s="14"/>
      <c r="BX139" s="14"/>
      <c r="BY139" s="14"/>
      <c r="BZ139" s="14"/>
      <c r="CA139" s="14"/>
      <c r="CB139" s="14"/>
      <c r="CC139" s="14"/>
      <c r="CD139" s="14"/>
      <c r="CE139" s="14"/>
      <c r="CF139" s="14"/>
      <c r="CG139" s="91"/>
      <c r="CH139" s="91"/>
      <c r="CI139" s="91"/>
      <c r="CJ139" s="91"/>
      <c r="CK139" s="91"/>
      <c r="CL139" s="91"/>
      <c r="CM139" s="91"/>
      <c r="CN139" s="91"/>
      <c r="CO139" s="91"/>
      <c r="CP139" s="91"/>
      <c r="CQ139" s="91"/>
      <c r="CR139" s="91"/>
      <c r="CS139" s="91"/>
      <c r="CT139" s="91"/>
      <c r="CU139" s="91"/>
      <c r="CV139" s="91"/>
    </row>
    <row r="140" spans="1:100" x14ac:dyDescent="0.2">
      <c r="A140" s="14"/>
      <c r="B140" s="14"/>
      <c r="C140" s="14"/>
      <c r="D140" s="14"/>
      <c r="E140" s="14"/>
      <c r="F140" s="14"/>
      <c r="G140" s="14"/>
      <c r="H140" s="14"/>
      <c r="I140" s="14"/>
      <c r="J140" s="14"/>
      <c r="K140" s="86"/>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4"/>
      <c r="BT140" s="14"/>
      <c r="BU140" s="14"/>
      <c r="BV140" s="14"/>
      <c r="BW140" s="14"/>
      <c r="BX140" s="14"/>
      <c r="BY140" s="14"/>
      <c r="BZ140" s="14"/>
      <c r="CA140" s="14"/>
      <c r="CB140" s="14"/>
      <c r="CC140" s="14"/>
      <c r="CD140" s="14"/>
      <c r="CE140" s="14"/>
      <c r="CF140" s="14"/>
      <c r="CG140" s="91"/>
      <c r="CH140" s="91"/>
      <c r="CI140" s="91"/>
      <c r="CJ140" s="91"/>
      <c r="CK140" s="91"/>
      <c r="CL140" s="91"/>
      <c r="CM140" s="91"/>
      <c r="CN140" s="91"/>
      <c r="CO140" s="91"/>
      <c r="CP140" s="91"/>
      <c r="CQ140" s="91"/>
      <c r="CR140" s="91"/>
      <c r="CS140" s="91"/>
      <c r="CT140" s="91"/>
      <c r="CU140" s="91"/>
      <c r="CV140" s="91"/>
    </row>
    <row r="141" spans="1:100" x14ac:dyDescent="0.2">
      <c r="A141" s="14"/>
      <c r="B141" s="14"/>
      <c r="C141" s="14"/>
      <c r="D141" s="14"/>
      <c r="E141" s="14"/>
      <c r="F141" s="14"/>
      <c r="G141" s="14"/>
      <c r="H141" s="14"/>
      <c r="I141" s="14"/>
      <c r="J141" s="14"/>
      <c r="K141" s="86"/>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BV141" s="14"/>
      <c r="BW141" s="14"/>
      <c r="BX141" s="14"/>
      <c r="BY141" s="14"/>
      <c r="BZ141" s="14"/>
      <c r="CA141" s="14"/>
      <c r="CB141" s="14"/>
      <c r="CC141" s="14"/>
      <c r="CD141" s="14"/>
      <c r="CE141" s="14"/>
      <c r="CF141" s="14"/>
      <c r="CG141" s="91"/>
      <c r="CH141" s="91"/>
      <c r="CI141" s="91"/>
      <c r="CJ141" s="91"/>
      <c r="CK141" s="91"/>
      <c r="CL141" s="91"/>
      <c r="CM141" s="91"/>
      <c r="CN141" s="91"/>
      <c r="CO141" s="91"/>
      <c r="CP141" s="91"/>
      <c r="CQ141" s="91"/>
      <c r="CR141" s="91"/>
      <c r="CS141" s="91"/>
      <c r="CT141" s="91"/>
      <c r="CU141" s="91"/>
      <c r="CV141" s="91"/>
    </row>
    <row r="142" spans="1:100" x14ac:dyDescent="0.2">
      <c r="A142" s="14"/>
      <c r="B142" s="14"/>
      <c r="C142" s="14"/>
      <c r="D142" s="14"/>
      <c r="E142" s="14"/>
      <c r="F142" s="14"/>
      <c r="G142" s="14"/>
      <c r="H142" s="14"/>
      <c r="I142" s="14"/>
      <c r="J142" s="14"/>
      <c r="K142" s="86"/>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BV142" s="14"/>
      <c r="BW142" s="14"/>
      <c r="BX142" s="14"/>
      <c r="BY142" s="14"/>
      <c r="BZ142" s="14"/>
      <c r="CA142" s="14"/>
      <c r="CB142" s="14"/>
      <c r="CC142" s="14"/>
      <c r="CD142" s="14"/>
      <c r="CE142" s="14"/>
      <c r="CF142" s="14"/>
      <c r="CG142" s="91"/>
      <c r="CH142" s="91"/>
      <c r="CI142" s="91"/>
      <c r="CJ142" s="91"/>
      <c r="CK142" s="91"/>
      <c r="CL142" s="91"/>
      <c r="CM142" s="91"/>
      <c r="CN142" s="91"/>
      <c r="CO142" s="91"/>
      <c r="CP142" s="91"/>
      <c r="CQ142" s="91"/>
      <c r="CR142" s="91"/>
      <c r="CS142" s="91"/>
      <c r="CT142" s="91"/>
      <c r="CU142" s="91"/>
      <c r="CV142" s="91"/>
    </row>
    <row r="143" spans="1:100" x14ac:dyDescent="0.2">
      <c r="A143" s="14"/>
      <c r="B143" s="14"/>
      <c r="C143" s="14"/>
      <c r="D143" s="14"/>
      <c r="E143" s="14"/>
      <c r="F143" s="14"/>
      <c r="G143" s="14"/>
      <c r="H143" s="14"/>
      <c r="I143" s="14"/>
      <c r="J143" s="14"/>
      <c r="K143" s="86"/>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BV143" s="14"/>
      <c r="BW143" s="14"/>
      <c r="BX143" s="14"/>
      <c r="BY143" s="14"/>
      <c r="BZ143" s="14"/>
      <c r="CA143" s="14"/>
      <c r="CB143" s="14"/>
      <c r="CC143" s="14"/>
      <c r="CD143" s="14"/>
      <c r="CE143" s="14"/>
      <c r="CF143" s="14"/>
      <c r="CG143" s="91"/>
      <c r="CH143" s="91"/>
      <c r="CI143" s="91"/>
      <c r="CJ143" s="91"/>
      <c r="CK143" s="91"/>
      <c r="CL143" s="91"/>
      <c r="CM143" s="91"/>
      <c r="CN143" s="91"/>
      <c r="CO143" s="91"/>
      <c r="CP143" s="91"/>
      <c r="CQ143" s="91"/>
      <c r="CR143" s="91"/>
      <c r="CS143" s="91"/>
      <c r="CT143" s="91"/>
      <c r="CU143" s="91"/>
      <c r="CV143" s="91"/>
    </row>
    <row r="144" spans="1:100" x14ac:dyDescent="0.2">
      <c r="A144" s="14"/>
      <c r="B144" s="14"/>
      <c r="C144" s="14"/>
      <c r="D144" s="14"/>
      <c r="E144" s="14"/>
      <c r="F144" s="14"/>
      <c r="G144" s="14"/>
      <c r="H144" s="14"/>
      <c r="I144" s="14"/>
      <c r="J144" s="14"/>
      <c r="K144" s="86"/>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14"/>
      <c r="AX144" s="14"/>
      <c r="AY144" s="14"/>
      <c r="AZ144" s="14"/>
      <c r="BA144" s="14"/>
      <c r="BB144" s="14"/>
      <c r="BC144" s="14"/>
      <c r="BD144" s="14"/>
      <c r="BE144" s="14"/>
      <c r="BF144" s="14"/>
      <c r="BG144" s="14"/>
      <c r="BH144" s="14"/>
      <c r="BI144" s="14"/>
      <c r="BJ144" s="14"/>
      <c r="BK144" s="14"/>
      <c r="BL144" s="14"/>
      <c r="BM144" s="14"/>
      <c r="BN144" s="14"/>
      <c r="BO144" s="14"/>
      <c r="BP144" s="14"/>
      <c r="BQ144" s="14"/>
      <c r="BR144" s="14"/>
      <c r="BS144" s="14"/>
      <c r="BT144" s="14"/>
      <c r="BU144" s="14"/>
      <c r="BV144" s="14"/>
      <c r="BW144" s="14"/>
      <c r="BX144" s="14"/>
      <c r="BY144" s="14"/>
      <c r="BZ144" s="14"/>
      <c r="CA144" s="14"/>
      <c r="CB144" s="14"/>
      <c r="CC144" s="14"/>
      <c r="CD144" s="14"/>
      <c r="CE144" s="14"/>
      <c r="CF144" s="14"/>
      <c r="CG144" s="91"/>
      <c r="CH144" s="91"/>
      <c r="CI144" s="91"/>
      <c r="CJ144" s="91"/>
      <c r="CK144" s="91"/>
      <c r="CL144" s="91"/>
      <c r="CM144" s="91"/>
      <c r="CN144" s="91"/>
      <c r="CO144" s="91"/>
      <c r="CP144" s="91"/>
      <c r="CQ144" s="91"/>
      <c r="CR144" s="91"/>
      <c r="CS144" s="91"/>
      <c r="CT144" s="91"/>
      <c r="CU144" s="91"/>
      <c r="CV144" s="91"/>
    </row>
    <row r="145" spans="1:100" x14ac:dyDescent="0.2">
      <c r="A145" s="14"/>
      <c r="B145" s="14"/>
      <c r="C145" s="14"/>
      <c r="D145" s="14"/>
      <c r="E145" s="14"/>
      <c r="F145" s="14"/>
      <c r="G145" s="14"/>
      <c r="H145" s="14"/>
      <c r="I145" s="14"/>
      <c r="J145" s="14"/>
      <c r="K145" s="86"/>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14"/>
      <c r="AX145" s="14"/>
      <c r="AY145" s="14"/>
      <c r="AZ145" s="14"/>
      <c r="BA145" s="14"/>
      <c r="BB145" s="14"/>
      <c r="BC145" s="14"/>
      <c r="BD145" s="14"/>
      <c r="BE145" s="14"/>
      <c r="BF145" s="14"/>
      <c r="BG145" s="14"/>
      <c r="BH145" s="14"/>
      <c r="BI145" s="14"/>
      <c r="BJ145" s="14"/>
      <c r="BK145" s="14"/>
      <c r="BL145" s="14"/>
      <c r="BM145" s="14"/>
      <c r="BN145" s="14"/>
      <c r="BO145" s="14"/>
      <c r="BP145" s="14"/>
      <c r="BQ145" s="14"/>
      <c r="BR145" s="14"/>
      <c r="BS145" s="14"/>
      <c r="BT145" s="14"/>
      <c r="BU145" s="14"/>
      <c r="BV145" s="14"/>
      <c r="BW145" s="14"/>
      <c r="BX145" s="14"/>
      <c r="BY145" s="14"/>
      <c r="BZ145" s="14"/>
      <c r="CA145" s="14"/>
      <c r="CB145" s="14"/>
      <c r="CC145" s="14"/>
      <c r="CD145" s="14"/>
      <c r="CE145" s="14"/>
      <c r="CF145" s="14"/>
      <c r="CG145" s="91"/>
      <c r="CH145" s="91"/>
      <c r="CI145" s="91"/>
      <c r="CJ145" s="91"/>
      <c r="CK145" s="91"/>
      <c r="CL145" s="91"/>
      <c r="CM145" s="91"/>
      <c r="CN145" s="91"/>
      <c r="CO145" s="91"/>
      <c r="CP145" s="91"/>
      <c r="CQ145" s="91"/>
      <c r="CR145" s="91"/>
      <c r="CS145" s="91"/>
      <c r="CT145" s="91"/>
      <c r="CU145" s="91"/>
      <c r="CV145" s="91"/>
    </row>
    <row r="146" spans="1:100" x14ac:dyDescent="0.2">
      <c r="A146" s="14"/>
      <c r="B146" s="14"/>
      <c r="C146" s="14"/>
      <c r="D146" s="14"/>
      <c r="E146" s="14"/>
      <c r="F146" s="14"/>
      <c r="G146" s="14"/>
      <c r="H146" s="14"/>
      <c r="I146" s="14"/>
      <c r="J146" s="14"/>
      <c r="K146" s="86"/>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4"/>
      <c r="BT146" s="14"/>
      <c r="BU146" s="14"/>
      <c r="BV146" s="14"/>
      <c r="BW146" s="14"/>
      <c r="BX146" s="14"/>
      <c r="BY146" s="14"/>
      <c r="BZ146" s="14"/>
      <c r="CA146" s="14"/>
      <c r="CB146" s="14"/>
      <c r="CC146" s="14"/>
      <c r="CD146" s="14"/>
      <c r="CE146" s="14"/>
      <c r="CF146" s="14"/>
      <c r="CG146" s="91"/>
      <c r="CH146" s="91"/>
      <c r="CI146" s="91"/>
      <c r="CJ146" s="91"/>
      <c r="CK146" s="91"/>
      <c r="CL146" s="91"/>
      <c r="CM146" s="91"/>
      <c r="CN146" s="91"/>
      <c r="CO146" s="91"/>
      <c r="CP146" s="91"/>
      <c r="CQ146" s="91"/>
      <c r="CR146" s="91"/>
      <c r="CS146" s="91"/>
      <c r="CT146" s="91"/>
      <c r="CU146" s="91"/>
      <c r="CV146" s="91"/>
    </row>
    <row r="147" spans="1:100" x14ac:dyDescent="0.2">
      <c r="A147" s="14"/>
      <c r="B147" s="14"/>
      <c r="C147" s="14"/>
      <c r="D147" s="14"/>
      <c r="E147" s="14"/>
      <c r="F147" s="14"/>
      <c r="G147" s="14"/>
      <c r="H147" s="14"/>
      <c r="I147" s="14"/>
      <c r="J147" s="14"/>
      <c r="K147" s="86"/>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4"/>
      <c r="BT147" s="14"/>
      <c r="BU147" s="14"/>
      <c r="BV147" s="14"/>
      <c r="BW147" s="14"/>
      <c r="BX147" s="14"/>
      <c r="BY147" s="14"/>
      <c r="BZ147" s="14"/>
      <c r="CA147" s="14"/>
      <c r="CB147" s="14"/>
      <c r="CC147" s="14"/>
      <c r="CD147" s="14"/>
      <c r="CE147" s="14"/>
      <c r="CF147" s="14"/>
      <c r="CG147" s="91"/>
      <c r="CH147" s="91"/>
      <c r="CI147" s="91"/>
      <c r="CJ147" s="91"/>
      <c r="CK147" s="91"/>
      <c r="CL147" s="91"/>
      <c r="CM147" s="91"/>
      <c r="CN147" s="91"/>
      <c r="CO147" s="91"/>
      <c r="CP147" s="91"/>
      <c r="CQ147" s="91"/>
      <c r="CR147" s="91"/>
      <c r="CS147" s="91"/>
      <c r="CT147" s="91"/>
      <c r="CU147" s="91"/>
      <c r="CV147" s="91"/>
    </row>
    <row r="148" spans="1:100" x14ac:dyDescent="0.2">
      <c r="A148" s="14"/>
      <c r="B148" s="14"/>
      <c r="C148" s="14"/>
      <c r="D148" s="14"/>
      <c r="E148" s="14"/>
      <c r="F148" s="14"/>
      <c r="G148" s="14"/>
      <c r="H148" s="14"/>
      <c r="I148" s="14"/>
      <c r="J148" s="14"/>
      <c r="K148" s="86"/>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BV148" s="14"/>
      <c r="BW148" s="14"/>
      <c r="BX148" s="14"/>
      <c r="BY148" s="14"/>
      <c r="BZ148" s="14"/>
      <c r="CA148" s="14"/>
      <c r="CB148" s="14"/>
      <c r="CC148" s="14"/>
      <c r="CD148" s="14"/>
      <c r="CE148" s="14"/>
      <c r="CF148" s="14"/>
      <c r="CG148" s="91"/>
      <c r="CH148" s="91"/>
      <c r="CI148" s="91"/>
      <c r="CJ148" s="91"/>
      <c r="CK148" s="91"/>
      <c r="CL148" s="91"/>
      <c r="CM148" s="91"/>
      <c r="CN148" s="91"/>
      <c r="CO148" s="91"/>
      <c r="CP148" s="91"/>
      <c r="CQ148" s="91"/>
      <c r="CR148" s="91"/>
      <c r="CS148" s="91"/>
      <c r="CT148" s="91"/>
      <c r="CU148" s="91"/>
      <c r="CV148" s="91"/>
    </row>
    <row r="149" spans="1:100" x14ac:dyDescent="0.2">
      <c r="A149" s="14"/>
      <c r="B149" s="14"/>
      <c r="C149" s="14"/>
      <c r="D149" s="14"/>
      <c r="E149" s="14"/>
      <c r="F149" s="14"/>
      <c r="G149" s="14"/>
      <c r="H149" s="14"/>
      <c r="I149" s="14"/>
      <c r="J149" s="14"/>
      <c r="K149" s="86"/>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14"/>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BV149" s="14"/>
      <c r="BW149" s="14"/>
      <c r="BX149" s="14"/>
      <c r="BY149" s="14"/>
      <c r="BZ149" s="14"/>
      <c r="CA149" s="14"/>
      <c r="CB149" s="14"/>
      <c r="CC149" s="14"/>
      <c r="CD149" s="14"/>
      <c r="CE149" s="14"/>
      <c r="CF149" s="14"/>
      <c r="CG149" s="91"/>
      <c r="CH149" s="91"/>
      <c r="CI149" s="91"/>
      <c r="CJ149" s="91"/>
      <c r="CK149" s="91"/>
      <c r="CL149" s="91"/>
      <c r="CM149" s="91"/>
      <c r="CN149" s="91"/>
      <c r="CO149" s="91"/>
      <c r="CP149" s="91"/>
      <c r="CQ149" s="91"/>
      <c r="CR149" s="91"/>
      <c r="CS149" s="91"/>
      <c r="CT149" s="91"/>
      <c r="CU149" s="91"/>
      <c r="CV149" s="91"/>
    </row>
    <row r="150" spans="1:100" x14ac:dyDescent="0.2">
      <c r="A150" s="14"/>
      <c r="B150" s="14"/>
      <c r="C150" s="14"/>
      <c r="D150" s="14"/>
      <c r="E150" s="14"/>
      <c r="F150" s="14"/>
      <c r="G150" s="14"/>
      <c r="H150" s="14"/>
      <c r="I150" s="14"/>
      <c r="J150" s="14"/>
      <c r="K150" s="86"/>
      <c r="L150" s="14"/>
      <c r="M150" s="14"/>
      <c r="N150" s="14"/>
      <c r="O150" s="14"/>
      <c r="P150" s="14"/>
      <c r="Q150" s="14"/>
      <c r="R150" s="14"/>
      <c r="S150" s="14"/>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c r="BO150" s="14"/>
      <c r="BP150" s="14"/>
      <c r="BQ150" s="14"/>
      <c r="BR150" s="14"/>
      <c r="BS150" s="14"/>
      <c r="BT150" s="14"/>
      <c r="BU150" s="14"/>
      <c r="BV150" s="14"/>
      <c r="BW150" s="14"/>
      <c r="BX150" s="14"/>
      <c r="BY150" s="14"/>
      <c r="BZ150" s="14"/>
      <c r="CA150" s="14"/>
      <c r="CB150" s="14"/>
      <c r="CC150" s="14"/>
      <c r="CD150" s="14"/>
      <c r="CE150" s="14"/>
      <c r="CF150" s="14"/>
      <c r="CG150" s="91"/>
      <c r="CH150" s="91"/>
      <c r="CI150" s="91"/>
      <c r="CJ150" s="91"/>
      <c r="CK150" s="91"/>
      <c r="CL150" s="91"/>
      <c r="CM150" s="91"/>
      <c r="CN150" s="91"/>
      <c r="CO150" s="91"/>
      <c r="CP150" s="91"/>
      <c r="CQ150" s="91"/>
      <c r="CR150" s="91"/>
      <c r="CS150" s="91"/>
      <c r="CT150" s="91"/>
      <c r="CU150" s="91"/>
      <c r="CV150" s="91"/>
    </row>
    <row r="151" spans="1:100" x14ac:dyDescent="0.2">
      <c r="A151" s="14"/>
      <c r="B151" s="14"/>
      <c r="C151" s="14"/>
      <c r="D151" s="14"/>
      <c r="E151" s="14"/>
      <c r="F151" s="14"/>
      <c r="G151" s="14"/>
      <c r="H151" s="14"/>
      <c r="I151" s="14"/>
      <c r="J151" s="14"/>
      <c r="K151" s="86"/>
      <c r="L151" s="14"/>
      <c r="M151" s="14"/>
      <c r="N151" s="14"/>
      <c r="O151" s="14"/>
      <c r="P151" s="14"/>
      <c r="Q151" s="14"/>
      <c r="R151" s="14"/>
      <c r="S151" s="14"/>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14"/>
      <c r="AX151" s="14"/>
      <c r="AY151" s="14"/>
      <c r="AZ151" s="14"/>
      <c r="BA151" s="14"/>
      <c r="BB151" s="14"/>
      <c r="BC151" s="14"/>
      <c r="BD151" s="14"/>
      <c r="BE151" s="14"/>
      <c r="BF151" s="14"/>
      <c r="BG151" s="14"/>
      <c r="BH151" s="14"/>
      <c r="BI151" s="14"/>
      <c r="BJ151" s="14"/>
      <c r="BK151" s="14"/>
      <c r="BL151" s="14"/>
      <c r="BM151" s="14"/>
      <c r="BN151" s="14"/>
      <c r="BO151" s="14"/>
      <c r="BP151" s="14"/>
      <c r="BQ151" s="14"/>
      <c r="BR151" s="14"/>
      <c r="BS151" s="14"/>
      <c r="BT151" s="14"/>
      <c r="BU151" s="14"/>
      <c r="BV151" s="14"/>
      <c r="BW151" s="14"/>
      <c r="BX151" s="14"/>
      <c r="BY151" s="14"/>
      <c r="BZ151" s="14"/>
      <c r="CA151" s="14"/>
      <c r="CB151" s="14"/>
      <c r="CC151" s="14"/>
      <c r="CD151" s="14"/>
      <c r="CE151" s="14"/>
      <c r="CF151" s="14"/>
      <c r="CG151" s="91"/>
      <c r="CH151" s="91"/>
      <c r="CI151" s="91"/>
      <c r="CJ151" s="91"/>
      <c r="CK151" s="91"/>
      <c r="CL151" s="91"/>
      <c r="CM151" s="91"/>
      <c r="CN151" s="91"/>
      <c r="CO151" s="91"/>
      <c r="CP151" s="91"/>
      <c r="CQ151" s="91"/>
      <c r="CR151" s="91"/>
      <c r="CS151" s="91"/>
      <c r="CT151" s="91"/>
      <c r="CU151" s="91"/>
      <c r="CV151" s="91"/>
    </row>
    <row r="152" spans="1:100" x14ac:dyDescent="0.2">
      <c r="A152" s="14"/>
      <c r="B152" s="14"/>
      <c r="C152" s="14"/>
      <c r="D152" s="14"/>
      <c r="E152" s="14"/>
      <c r="F152" s="14"/>
      <c r="G152" s="14"/>
      <c r="H152" s="14"/>
      <c r="I152" s="14"/>
      <c r="J152" s="14"/>
      <c r="K152" s="86"/>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14"/>
      <c r="AX152" s="14"/>
      <c r="AY152" s="14"/>
      <c r="AZ152" s="14"/>
      <c r="BA152" s="14"/>
      <c r="BB152" s="14"/>
      <c r="BC152" s="14"/>
      <c r="BD152" s="14"/>
      <c r="BE152" s="14"/>
      <c r="BF152" s="14"/>
      <c r="BG152" s="14"/>
      <c r="BH152" s="14"/>
      <c r="BI152" s="14"/>
      <c r="BJ152" s="14"/>
      <c r="BK152" s="14"/>
      <c r="BL152" s="14"/>
      <c r="BM152" s="14"/>
      <c r="BN152" s="14"/>
      <c r="BO152" s="14"/>
      <c r="BP152" s="14"/>
      <c r="BQ152" s="14"/>
      <c r="BR152" s="14"/>
      <c r="BS152" s="14"/>
      <c r="BT152" s="14"/>
      <c r="BU152" s="14"/>
      <c r="BV152" s="14"/>
      <c r="BW152" s="14"/>
      <c r="BX152" s="14"/>
      <c r="BY152" s="14"/>
      <c r="BZ152" s="14"/>
      <c r="CA152" s="14"/>
      <c r="CB152" s="14"/>
      <c r="CC152" s="14"/>
      <c r="CD152" s="14"/>
      <c r="CE152" s="14"/>
      <c r="CF152" s="14"/>
      <c r="CG152" s="91"/>
      <c r="CH152" s="91"/>
      <c r="CI152" s="91"/>
      <c r="CJ152" s="91"/>
      <c r="CK152" s="91"/>
      <c r="CL152" s="91"/>
      <c r="CM152" s="91"/>
      <c r="CN152" s="91"/>
      <c r="CO152" s="91"/>
      <c r="CP152" s="91"/>
      <c r="CQ152" s="91"/>
      <c r="CR152" s="91"/>
      <c r="CS152" s="91"/>
      <c r="CT152" s="91"/>
      <c r="CU152" s="91"/>
      <c r="CV152" s="91"/>
    </row>
    <row r="153" spans="1:100" x14ac:dyDescent="0.2">
      <c r="A153" s="14"/>
      <c r="B153" s="14"/>
      <c r="C153" s="14"/>
      <c r="D153" s="14"/>
      <c r="E153" s="14"/>
      <c r="F153" s="14"/>
      <c r="G153" s="14"/>
      <c r="H153" s="14"/>
      <c r="I153" s="14"/>
      <c r="J153" s="14"/>
      <c r="K153" s="86"/>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14"/>
      <c r="AX153" s="14"/>
      <c r="AY153" s="14"/>
      <c r="AZ153" s="14"/>
      <c r="BA153" s="14"/>
      <c r="BB153" s="14"/>
      <c r="BC153" s="14"/>
      <c r="BD153" s="14"/>
      <c r="BE153" s="14"/>
      <c r="BF153" s="14"/>
      <c r="BG153" s="14"/>
      <c r="BH153" s="14"/>
      <c r="BI153" s="14"/>
      <c r="BJ153" s="14"/>
      <c r="BK153" s="14"/>
      <c r="BL153" s="14"/>
      <c r="BM153" s="14"/>
      <c r="BN153" s="14"/>
      <c r="BO153" s="14"/>
      <c r="BP153" s="14"/>
      <c r="BQ153" s="14"/>
      <c r="BR153" s="14"/>
      <c r="BS153" s="14"/>
      <c r="BT153" s="14"/>
      <c r="BU153" s="14"/>
      <c r="BV153" s="14"/>
      <c r="BW153" s="14"/>
      <c r="BX153" s="14"/>
      <c r="BY153" s="14"/>
      <c r="BZ153" s="14"/>
      <c r="CA153" s="14"/>
      <c r="CB153" s="14"/>
      <c r="CC153" s="14"/>
      <c r="CD153" s="14"/>
      <c r="CE153" s="14"/>
      <c r="CF153" s="14"/>
      <c r="CG153" s="91"/>
      <c r="CH153" s="91"/>
      <c r="CI153" s="91"/>
      <c r="CJ153" s="91"/>
      <c r="CK153" s="91"/>
      <c r="CL153" s="91"/>
      <c r="CM153" s="91"/>
      <c r="CN153" s="91"/>
      <c r="CO153" s="91"/>
      <c r="CP153" s="91"/>
      <c r="CQ153" s="91"/>
      <c r="CR153" s="91"/>
      <c r="CS153" s="91"/>
      <c r="CT153" s="91"/>
      <c r="CU153" s="91"/>
      <c r="CV153" s="91"/>
    </row>
    <row r="154" spans="1:100" x14ac:dyDescent="0.2">
      <c r="A154" s="14"/>
      <c r="B154" s="14"/>
      <c r="C154" s="14"/>
      <c r="D154" s="14"/>
      <c r="E154" s="14"/>
      <c r="F154" s="14"/>
      <c r="G154" s="14"/>
      <c r="H154" s="14"/>
      <c r="I154" s="14"/>
      <c r="J154" s="14"/>
      <c r="K154" s="86"/>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c r="BO154" s="14"/>
      <c r="BP154" s="14"/>
      <c r="BQ154" s="14"/>
      <c r="BR154" s="14"/>
      <c r="BS154" s="14"/>
      <c r="BT154" s="14"/>
      <c r="BU154" s="14"/>
      <c r="BV154" s="14"/>
      <c r="BW154" s="14"/>
      <c r="BX154" s="14"/>
      <c r="BY154" s="14"/>
      <c r="BZ154" s="14"/>
      <c r="CA154" s="14"/>
      <c r="CB154" s="14"/>
      <c r="CC154" s="14"/>
      <c r="CD154" s="14"/>
      <c r="CE154" s="14"/>
      <c r="CF154" s="14"/>
      <c r="CG154" s="91"/>
      <c r="CH154" s="91"/>
      <c r="CI154" s="91"/>
      <c r="CJ154" s="91"/>
      <c r="CK154" s="91"/>
      <c r="CL154" s="91"/>
      <c r="CM154" s="91"/>
      <c r="CN154" s="91"/>
      <c r="CO154" s="91"/>
      <c r="CP154" s="91"/>
      <c r="CQ154" s="91"/>
      <c r="CR154" s="91"/>
      <c r="CS154" s="91"/>
      <c r="CT154" s="91"/>
      <c r="CU154" s="91"/>
      <c r="CV154" s="91"/>
    </row>
    <row r="155" spans="1:100" x14ac:dyDescent="0.2">
      <c r="A155" s="14"/>
      <c r="B155" s="14"/>
      <c r="C155" s="14"/>
      <c r="D155" s="14"/>
      <c r="E155" s="14"/>
      <c r="F155" s="14"/>
      <c r="G155" s="14"/>
      <c r="H155" s="14"/>
      <c r="I155" s="14"/>
      <c r="J155" s="14"/>
      <c r="K155" s="86"/>
      <c r="L155" s="14"/>
      <c r="M155" s="14"/>
      <c r="N155" s="14"/>
      <c r="O155" s="14"/>
      <c r="P155" s="14"/>
      <c r="Q155" s="14"/>
      <c r="R155" s="14"/>
      <c r="S155" s="14"/>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4"/>
      <c r="BT155" s="14"/>
      <c r="BU155" s="14"/>
      <c r="BV155" s="14"/>
      <c r="BW155" s="14"/>
      <c r="BX155" s="14"/>
      <c r="BY155" s="14"/>
      <c r="BZ155" s="14"/>
      <c r="CA155" s="14"/>
      <c r="CB155" s="14"/>
      <c r="CC155" s="14"/>
      <c r="CD155" s="14"/>
      <c r="CE155" s="14"/>
      <c r="CF155" s="14"/>
      <c r="CG155" s="91"/>
      <c r="CH155" s="91"/>
      <c r="CI155" s="91"/>
      <c r="CJ155" s="91"/>
      <c r="CK155" s="91"/>
      <c r="CL155" s="91"/>
      <c r="CM155" s="91"/>
      <c r="CN155" s="91"/>
      <c r="CO155" s="91"/>
      <c r="CP155" s="91"/>
      <c r="CQ155" s="91"/>
      <c r="CR155" s="91"/>
      <c r="CS155" s="91"/>
      <c r="CT155" s="91"/>
      <c r="CU155" s="91"/>
      <c r="CV155" s="91"/>
    </row>
    <row r="156" spans="1:100" x14ac:dyDescent="0.2">
      <c r="A156" s="14"/>
      <c r="B156" s="14"/>
      <c r="C156" s="14"/>
      <c r="D156" s="14"/>
      <c r="E156" s="14"/>
      <c r="F156" s="14"/>
      <c r="G156" s="14"/>
      <c r="H156" s="14"/>
      <c r="I156" s="14"/>
      <c r="J156" s="14"/>
      <c r="K156" s="86"/>
      <c r="L156" s="14"/>
      <c r="M156" s="14"/>
      <c r="N156" s="14"/>
      <c r="O156" s="14"/>
      <c r="P156" s="14"/>
      <c r="Q156" s="14"/>
      <c r="R156" s="14"/>
      <c r="S156" s="14"/>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G156" s="91"/>
      <c r="CH156" s="91"/>
      <c r="CI156" s="91"/>
      <c r="CJ156" s="91"/>
      <c r="CK156" s="91"/>
      <c r="CL156" s="91"/>
      <c r="CM156" s="91"/>
      <c r="CN156" s="91"/>
      <c r="CO156" s="91"/>
      <c r="CP156" s="91"/>
      <c r="CQ156" s="91"/>
      <c r="CR156" s="91"/>
      <c r="CS156" s="91"/>
      <c r="CT156" s="91"/>
      <c r="CU156" s="91"/>
      <c r="CV156" s="91"/>
    </row>
    <row r="157" spans="1:100" x14ac:dyDescent="0.2">
      <c r="A157" s="14"/>
      <c r="B157" s="14"/>
      <c r="C157" s="14"/>
      <c r="D157" s="14"/>
      <c r="E157" s="14"/>
      <c r="F157" s="14"/>
      <c r="G157" s="14"/>
      <c r="H157" s="14"/>
      <c r="I157" s="14"/>
      <c r="J157" s="14"/>
      <c r="K157" s="86"/>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G157" s="91"/>
      <c r="CH157" s="91"/>
      <c r="CI157" s="91"/>
      <c r="CJ157" s="91"/>
      <c r="CK157" s="91"/>
      <c r="CL157" s="91"/>
      <c r="CM157" s="91"/>
      <c r="CN157" s="91"/>
      <c r="CO157" s="91"/>
      <c r="CP157" s="91"/>
      <c r="CQ157" s="91"/>
      <c r="CR157" s="91"/>
      <c r="CS157" s="91"/>
      <c r="CT157" s="91"/>
      <c r="CU157" s="91"/>
      <c r="CV157" s="91"/>
    </row>
    <row r="158" spans="1:100" x14ac:dyDescent="0.2">
      <c r="A158" s="14"/>
      <c r="B158" s="14"/>
      <c r="C158" s="14"/>
      <c r="D158" s="14"/>
      <c r="E158" s="14"/>
      <c r="F158" s="14"/>
      <c r="G158" s="14"/>
      <c r="H158" s="14"/>
      <c r="I158" s="14"/>
      <c r="J158" s="14"/>
      <c r="K158" s="86"/>
      <c r="L158" s="14"/>
      <c r="M158" s="14"/>
      <c r="N158" s="14"/>
      <c r="O158" s="14"/>
      <c r="P158" s="14"/>
      <c r="Q158" s="14"/>
      <c r="R158" s="14"/>
      <c r="S158" s="14"/>
      <c r="T158" s="14"/>
      <c r="U158" s="14"/>
      <c r="V158" s="14"/>
      <c r="W158" s="14"/>
      <c r="X158" s="14"/>
      <c r="Y158" s="14"/>
      <c r="Z158" s="14"/>
      <c r="AA158" s="14"/>
      <c r="AB158" s="14"/>
      <c r="AC158" s="14"/>
      <c r="AD158" s="14"/>
      <c r="AE158" s="14"/>
      <c r="AF158" s="14"/>
      <c r="AG158" s="14"/>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s="91"/>
      <c r="CH158" s="91"/>
      <c r="CI158" s="91"/>
      <c r="CJ158" s="91"/>
      <c r="CK158" s="91"/>
      <c r="CL158" s="91"/>
      <c r="CM158" s="91"/>
      <c r="CN158" s="91"/>
      <c r="CO158" s="91"/>
      <c r="CP158" s="91"/>
      <c r="CQ158" s="91"/>
      <c r="CR158" s="91"/>
      <c r="CS158" s="91"/>
      <c r="CT158" s="91"/>
      <c r="CU158" s="91"/>
      <c r="CV158" s="91"/>
    </row>
    <row r="159" spans="1:100" x14ac:dyDescent="0.2">
      <c r="A159" s="14"/>
      <c r="B159" s="14"/>
      <c r="C159" s="14"/>
      <c r="D159" s="14"/>
      <c r="E159" s="14"/>
      <c r="F159" s="14"/>
      <c r="G159" s="14"/>
      <c r="H159" s="14"/>
      <c r="I159" s="14"/>
      <c r="J159" s="14"/>
      <c r="K159" s="86"/>
      <c r="L159" s="14"/>
      <c r="M159" s="14"/>
      <c r="N159" s="14"/>
      <c r="O159" s="14"/>
      <c r="P159" s="14"/>
      <c r="Q159" s="14"/>
      <c r="R159" s="14"/>
      <c r="S159" s="14"/>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c r="AS159" s="14"/>
      <c r="AT159" s="14"/>
      <c r="AU159" s="14"/>
      <c r="AV159" s="14"/>
      <c r="AW159" s="14"/>
      <c r="AX159" s="14"/>
      <c r="AY159" s="14"/>
      <c r="AZ159" s="14"/>
      <c r="BA159" s="14"/>
      <c r="BB159" s="14"/>
      <c r="BC159" s="14"/>
      <c r="BD159" s="14"/>
      <c r="BE159" s="14"/>
      <c r="BF159" s="14"/>
      <c r="BG159" s="14"/>
      <c r="BH159" s="14"/>
      <c r="BI159" s="14"/>
      <c r="BJ159" s="14"/>
      <c r="BK159" s="14"/>
      <c r="BL159" s="14"/>
      <c r="BM159" s="14"/>
      <c r="BN159" s="14"/>
      <c r="BO159" s="14"/>
      <c r="BP159" s="14"/>
      <c r="BQ159" s="14"/>
      <c r="BR159" s="14"/>
      <c r="BS159" s="14"/>
      <c r="BT159" s="14"/>
      <c r="BU159" s="14"/>
      <c r="BV159" s="14"/>
      <c r="BW159" s="14"/>
      <c r="BX159" s="14"/>
      <c r="BY159" s="14"/>
      <c r="BZ159" s="14"/>
      <c r="CA159" s="14"/>
      <c r="CB159" s="14"/>
      <c r="CC159" s="14"/>
      <c r="CD159" s="14"/>
      <c r="CE159" s="14"/>
      <c r="CF159" s="14"/>
      <c r="CG159" s="91"/>
      <c r="CH159" s="91"/>
      <c r="CI159" s="91"/>
      <c r="CJ159" s="91"/>
      <c r="CK159" s="91"/>
      <c r="CL159" s="91"/>
      <c r="CM159" s="91"/>
      <c r="CN159" s="91"/>
      <c r="CO159" s="91"/>
      <c r="CP159" s="91"/>
      <c r="CQ159" s="91"/>
      <c r="CR159" s="91"/>
      <c r="CS159" s="91"/>
      <c r="CT159" s="91"/>
      <c r="CU159" s="91"/>
      <c r="CV159" s="91"/>
    </row>
    <row r="160" spans="1:100" x14ac:dyDescent="0.2">
      <c r="A160" s="14"/>
      <c r="B160" s="14"/>
      <c r="C160" s="14"/>
      <c r="D160" s="14"/>
      <c r="E160" s="14"/>
      <c r="F160" s="14"/>
      <c r="G160" s="14"/>
      <c r="H160" s="14"/>
      <c r="I160" s="14"/>
      <c r="J160" s="14"/>
      <c r="K160" s="86"/>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G160" s="91"/>
      <c r="CH160" s="91"/>
      <c r="CI160" s="91"/>
      <c r="CJ160" s="91"/>
      <c r="CK160" s="91"/>
      <c r="CL160" s="91"/>
      <c r="CM160" s="91"/>
      <c r="CN160" s="91"/>
      <c r="CO160" s="91"/>
      <c r="CP160" s="91"/>
      <c r="CQ160" s="91"/>
      <c r="CR160" s="91"/>
      <c r="CS160" s="91"/>
      <c r="CT160" s="91"/>
      <c r="CU160" s="91"/>
      <c r="CV160" s="91"/>
    </row>
    <row r="161" spans="1:100" x14ac:dyDescent="0.2">
      <c r="A161" s="14"/>
      <c r="B161" s="14"/>
      <c r="C161" s="14"/>
      <c r="D161" s="14"/>
      <c r="E161" s="14"/>
      <c r="F161" s="14"/>
      <c r="G161" s="14"/>
      <c r="H161" s="14"/>
      <c r="I161" s="14"/>
      <c r="J161" s="14"/>
      <c r="K161" s="86"/>
      <c r="L161" s="14"/>
      <c r="M161" s="14"/>
      <c r="N161" s="14"/>
      <c r="O161" s="14"/>
      <c r="P161" s="14"/>
      <c r="Q161" s="14"/>
      <c r="R161" s="14"/>
      <c r="S161" s="14"/>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G161" s="91"/>
      <c r="CH161" s="91"/>
      <c r="CI161" s="91"/>
      <c r="CJ161" s="91"/>
      <c r="CK161" s="91"/>
      <c r="CL161" s="91"/>
      <c r="CM161" s="91"/>
      <c r="CN161" s="91"/>
      <c r="CO161" s="91"/>
      <c r="CP161" s="91"/>
      <c r="CQ161" s="91"/>
      <c r="CR161" s="91"/>
      <c r="CS161" s="91"/>
      <c r="CT161" s="91"/>
      <c r="CU161" s="91"/>
      <c r="CV161" s="91"/>
    </row>
    <row r="162" spans="1:100" x14ac:dyDescent="0.2">
      <c r="A162" s="14"/>
      <c r="B162" s="14"/>
      <c r="C162" s="14"/>
      <c r="D162" s="14"/>
      <c r="E162" s="14"/>
      <c r="F162" s="14"/>
      <c r="G162" s="14"/>
      <c r="H162" s="14"/>
      <c r="I162" s="14"/>
      <c r="J162" s="14"/>
      <c r="K162" s="86"/>
      <c r="L162" s="14"/>
      <c r="M162" s="14"/>
      <c r="N162" s="14"/>
      <c r="O162" s="14"/>
      <c r="P162" s="14"/>
      <c r="Q162" s="14"/>
      <c r="R162" s="14"/>
      <c r="S162" s="14"/>
      <c r="T162" s="14"/>
      <c r="U162" s="14"/>
      <c r="V162" s="14"/>
      <c r="W162" s="14"/>
      <c r="X162" s="14"/>
      <c r="Y162" s="14"/>
      <c r="Z162" s="14"/>
      <c r="AA162" s="14"/>
      <c r="AB162" s="14"/>
      <c r="AC162" s="14"/>
      <c r="AD162" s="14"/>
      <c r="AE162" s="14"/>
      <c r="AF162" s="14"/>
      <c r="AG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G162" s="91"/>
      <c r="CH162" s="91"/>
      <c r="CI162" s="91"/>
      <c r="CJ162" s="91"/>
      <c r="CK162" s="91"/>
      <c r="CL162" s="91"/>
      <c r="CM162" s="91"/>
      <c r="CN162" s="91"/>
      <c r="CO162" s="91"/>
      <c r="CP162" s="91"/>
      <c r="CQ162" s="91"/>
      <c r="CR162" s="91"/>
      <c r="CS162" s="91"/>
      <c r="CT162" s="91"/>
      <c r="CU162" s="91"/>
      <c r="CV162" s="91"/>
    </row>
    <row r="163" spans="1:100" x14ac:dyDescent="0.2">
      <c r="A163" s="14"/>
      <c r="B163" s="14"/>
      <c r="C163" s="14"/>
      <c r="D163" s="14"/>
      <c r="E163" s="14"/>
      <c r="F163" s="14"/>
      <c r="G163" s="14"/>
      <c r="H163" s="14"/>
      <c r="I163" s="14"/>
      <c r="J163" s="14"/>
      <c r="K163" s="86"/>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G163" s="91"/>
      <c r="CH163" s="91"/>
      <c r="CI163" s="91"/>
      <c r="CJ163" s="91"/>
      <c r="CK163" s="91"/>
      <c r="CL163" s="91"/>
      <c r="CM163" s="91"/>
      <c r="CN163" s="91"/>
      <c r="CO163" s="91"/>
      <c r="CP163" s="91"/>
      <c r="CQ163" s="91"/>
      <c r="CR163" s="91"/>
      <c r="CS163" s="91"/>
      <c r="CT163" s="91"/>
      <c r="CU163" s="91"/>
      <c r="CV163" s="91"/>
    </row>
    <row r="164" spans="1:100" x14ac:dyDescent="0.2">
      <c r="A164" s="14"/>
      <c r="B164" s="14"/>
      <c r="C164" s="14"/>
      <c r="D164" s="14"/>
      <c r="E164" s="14"/>
      <c r="F164" s="14"/>
      <c r="G164" s="14"/>
      <c r="H164" s="14"/>
      <c r="I164" s="14"/>
      <c r="J164" s="14"/>
      <c r="K164" s="86"/>
      <c r="L164" s="14"/>
      <c r="M164" s="14"/>
      <c r="N164" s="14"/>
      <c r="O164" s="14"/>
      <c r="P164" s="14"/>
      <c r="Q164" s="14"/>
      <c r="R164" s="14"/>
      <c r="S164" s="14"/>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G164" s="91"/>
      <c r="CH164" s="91"/>
      <c r="CI164" s="91"/>
      <c r="CJ164" s="91"/>
      <c r="CK164" s="91"/>
      <c r="CL164" s="91"/>
      <c r="CM164" s="91"/>
      <c r="CN164" s="91"/>
      <c r="CO164" s="91"/>
      <c r="CP164" s="91"/>
      <c r="CQ164" s="91"/>
      <c r="CR164" s="91"/>
      <c r="CS164" s="91"/>
      <c r="CT164" s="91"/>
      <c r="CU164" s="91"/>
      <c r="CV164" s="91"/>
    </row>
    <row r="165" spans="1:100" x14ac:dyDescent="0.2">
      <c r="A165" s="14"/>
      <c r="B165" s="14"/>
      <c r="C165" s="14"/>
      <c r="D165" s="14"/>
      <c r="E165" s="14"/>
      <c r="F165" s="14"/>
      <c r="G165" s="14"/>
      <c r="H165" s="14"/>
      <c r="I165" s="14"/>
      <c r="J165" s="14"/>
      <c r="K165" s="86"/>
      <c r="L165" s="14"/>
      <c r="M165" s="14"/>
      <c r="N165" s="14"/>
      <c r="O165" s="14"/>
      <c r="P165" s="14"/>
      <c r="Q165" s="14"/>
      <c r="R165" s="14"/>
      <c r="S165" s="14"/>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G165" s="91"/>
      <c r="CH165" s="91"/>
      <c r="CI165" s="91"/>
      <c r="CJ165" s="91"/>
      <c r="CK165" s="91"/>
      <c r="CL165" s="91"/>
      <c r="CM165" s="91"/>
      <c r="CN165" s="91"/>
      <c r="CO165" s="91"/>
      <c r="CP165" s="91"/>
      <c r="CQ165" s="91"/>
      <c r="CR165" s="91"/>
      <c r="CS165" s="91"/>
      <c r="CT165" s="91"/>
      <c r="CU165" s="91"/>
      <c r="CV165" s="91"/>
    </row>
    <row r="166" spans="1:100" x14ac:dyDescent="0.2">
      <c r="A166" s="14"/>
      <c r="B166" s="14"/>
      <c r="C166" s="14"/>
      <c r="D166" s="14"/>
      <c r="E166" s="14"/>
      <c r="F166" s="14"/>
      <c r="G166" s="14"/>
      <c r="H166" s="14"/>
      <c r="I166" s="14"/>
      <c r="J166" s="14"/>
      <c r="K166" s="86"/>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4"/>
      <c r="AI166" s="14"/>
      <c r="AJ166" s="14"/>
      <c r="AK166" s="14"/>
      <c r="AL166" s="14"/>
      <c r="AM166" s="14"/>
      <c r="AN166" s="14"/>
      <c r="AO166" s="14"/>
      <c r="AP166" s="14"/>
      <c r="AQ166" s="14"/>
      <c r="AR166" s="14"/>
      <c r="AS166" s="14"/>
      <c r="AT166" s="14"/>
      <c r="AU166" s="14"/>
      <c r="AV166" s="14"/>
      <c r="AW166" s="14"/>
      <c r="AX166" s="14"/>
      <c r="AY166" s="14"/>
      <c r="AZ166" s="14"/>
      <c r="BA166" s="14"/>
      <c r="BB166" s="14"/>
      <c r="BC166" s="14"/>
      <c r="BD166" s="14"/>
      <c r="BE166" s="14"/>
      <c r="BF166" s="14"/>
      <c r="BG166" s="14"/>
      <c r="BH166" s="14"/>
      <c r="BI166" s="14"/>
      <c r="BJ166" s="14"/>
      <c r="BK166" s="14"/>
      <c r="BL166" s="14"/>
      <c r="BM166" s="14"/>
      <c r="BN166" s="14"/>
      <c r="BO166" s="14"/>
      <c r="BP166" s="14"/>
      <c r="BQ166" s="14"/>
      <c r="BR166" s="14"/>
      <c r="BS166" s="14"/>
      <c r="BT166" s="14"/>
      <c r="BU166" s="14"/>
      <c r="BV166" s="14"/>
      <c r="BW166" s="14"/>
      <c r="BX166" s="14"/>
      <c r="BY166" s="14"/>
      <c r="BZ166" s="14"/>
      <c r="CA166" s="14"/>
      <c r="CB166" s="14"/>
      <c r="CC166" s="14"/>
      <c r="CD166" s="14"/>
      <c r="CE166" s="14"/>
      <c r="CF166" s="14"/>
      <c r="CG166" s="91"/>
      <c r="CH166" s="91"/>
      <c r="CI166" s="91"/>
      <c r="CJ166" s="91"/>
      <c r="CK166" s="91"/>
      <c r="CL166" s="91"/>
      <c r="CM166" s="91"/>
      <c r="CN166" s="91"/>
      <c r="CO166" s="91"/>
      <c r="CP166" s="91"/>
      <c r="CQ166" s="91"/>
      <c r="CR166" s="91"/>
      <c r="CS166" s="91"/>
      <c r="CT166" s="91"/>
      <c r="CU166" s="91"/>
      <c r="CV166" s="91"/>
    </row>
    <row r="167" spans="1:100" x14ac:dyDescent="0.2">
      <c r="A167" s="14"/>
      <c r="B167" s="14"/>
      <c r="C167" s="14"/>
      <c r="D167" s="14"/>
      <c r="E167" s="14"/>
      <c r="F167" s="14"/>
      <c r="G167" s="14"/>
      <c r="H167" s="14"/>
      <c r="I167" s="14"/>
      <c r="J167" s="14"/>
      <c r="K167" s="86"/>
      <c r="L167" s="14"/>
      <c r="M167" s="14"/>
      <c r="N167" s="14"/>
      <c r="O167" s="14"/>
      <c r="P167" s="14"/>
      <c r="Q167" s="14"/>
      <c r="R167" s="14"/>
      <c r="S167" s="14"/>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c r="AS167" s="14"/>
      <c r="AT167" s="14"/>
      <c r="AU167" s="14"/>
      <c r="AV167" s="14"/>
      <c r="AW167" s="14"/>
      <c r="AX167" s="14"/>
      <c r="AY167" s="14"/>
      <c r="AZ167" s="14"/>
      <c r="BA167" s="14"/>
      <c r="BB167" s="14"/>
      <c r="BC167" s="14"/>
      <c r="BD167" s="14"/>
      <c r="BE167" s="14"/>
      <c r="BF167" s="14"/>
      <c r="BG167" s="14"/>
      <c r="BH167" s="14"/>
      <c r="BI167" s="14"/>
      <c r="BJ167" s="14"/>
      <c r="BK167" s="14"/>
      <c r="BL167" s="14"/>
      <c r="BM167" s="14"/>
      <c r="BN167" s="14"/>
      <c r="BO167" s="14"/>
      <c r="BP167" s="14"/>
      <c r="BQ167" s="14"/>
      <c r="BR167" s="14"/>
      <c r="BS167" s="14"/>
      <c r="BT167" s="14"/>
      <c r="BU167" s="14"/>
      <c r="BV167" s="14"/>
      <c r="BW167" s="14"/>
      <c r="BX167" s="14"/>
      <c r="BY167" s="14"/>
      <c r="BZ167" s="14"/>
      <c r="CA167" s="14"/>
      <c r="CB167" s="14"/>
      <c r="CC167" s="14"/>
      <c r="CD167" s="14"/>
      <c r="CE167" s="14"/>
      <c r="CF167" s="14"/>
      <c r="CG167" s="91"/>
      <c r="CH167" s="91"/>
      <c r="CI167" s="91"/>
      <c r="CJ167" s="91"/>
      <c r="CK167" s="91"/>
      <c r="CL167" s="91"/>
      <c r="CM167" s="91"/>
      <c r="CN167" s="91"/>
      <c r="CO167" s="91"/>
      <c r="CP167" s="91"/>
      <c r="CQ167" s="91"/>
      <c r="CR167" s="91"/>
      <c r="CS167" s="91"/>
      <c r="CT167" s="91"/>
      <c r="CU167" s="91"/>
      <c r="CV167" s="91"/>
    </row>
    <row r="168" spans="1:100" x14ac:dyDescent="0.2">
      <c r="A168" s="14"/>
      <c r="B168" s="14"/>
      <c r="C168" s="14"/>
      <c r="D168" s="14"/>
      <c r="E168" s="14"/>
      <c r="F168" s="14"/>
      <c r="G168" s="14"/>
      <c r="H168" s="14"/>
      <c r="I168" s="14"/>
      <c r="J168" s="14"/>
      <c r="K168" s="86"/>
      <c r="L168" s="14"/>
      <c r="M168" s="14"/>
      <c r="N168" s="14"/>
      <c r="O168" s="14"/>
      <c r="P168" s="14"/>
      <c r="Q168" s="14"/>
      <c r="R168" s="14"/>
      <c r="S168" s="14"/>
      <c r="T168" s="14"/>
      <c r="U168" s="14"/>
      <c r="V168" s="14"/>
      <c r="W168" s="14"/>
      <c r="X168" s="14"/>
      <c r="Y168" s="14"/>
      <c r="Z168" s="14"/>
      <c r="AA168" s="14"/>
      <c r="AB168" s="14"/>
      <c r="AC168" s="14"/>
      <c r="AD168" s="14"/>
      <c r="AE168" s="14"/>
      <c r="AF168" s="14"/>
      <c r="AG168" s="14"/>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G168" s="91"/>
      <c r="CH168" s="91"/>
      <c r="CI168" s="91"/>
      <c r="CJ168" s="91"/>
      <c r="CK168" s="91"/>
      <c r="CL168" s="91"/>
      <c r="CM168" s="91"/>
      <c r="CN168" s="91"/>
      <c r="CO168" s="91"/>
      <c r="CP168" s="91"/>
      <c r="CQ168" s="91"/>
      <c r="CR168" s="91"/>
      <c r="CS168" s="91"/>
      <c r="CT168" s="91"/>
      <c r="CU168" s="91"/>
      <c r="CV168" s="91"/>
    </row>
    <row r="169" spans="1:100" x14ac:dyDescent="0.2">
      <c r="A169" s="14"/>
      <c r="B169" s="14"/>
      <c r="C169" s="14"/>
      <c r="D169" s="14"/>
      <c r="E169" s="14"/>
      <c r="F169" s="14"/>
      <c r="G169" s="14"/>
      <c r="H169" s="14"/>
      <c r="I169" s="14"/>
      <c r="J169" s="14"/>
      <c r="K169" s="86"/>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G169" s="91"/>
      <c r="CH169" s="91"/>
      <c r="CI169" s="91"/>
      <c r="CJ169" s="91"/>
      <c r="CK169" s="91"/>
      <c r="CL169" s="91"/>
      <c r="CM169" s="91"/>
      <c r="CN169" s="91"/>
      <c r="CO169" s="91"/>
      <c r="CP169" s="91"/>
      <c r="CQ169" s="91"/>
      <c r="CR169" s="91"/>
      <c r="CS169" s="91"/>
      <c r="CT169" s="91"/>
      <c r="CU169" s="91"/>
      <c r="CV169" s="91"/>
    </row>
    <row r="170" spans="1:100" x14ac:dyDescent="0.2">
      <c r="A170" s="14"/>
      <c r="B170" s="14"/>
      <c r="C170" s="14"/>
      <c r="D170" s="14"/>
      <c r="E170" s="14"/>
      <c r="F170" s="14"/>
      <c r="G170" s="14"/>
      <c r="H170" s="14"/>
      <c r="I170" s="14"/>
      <c r="J170" s="14"/>
      <c r="K170" s="86"/>
      <c r="L170" s="14"/>
      <c r="M170" s="14"/>
      <c r="N170" s="14"/>
      <c r="O170" s="14"/>
      <c r="P170" s="14"/>
      <c r="Q170" s="14"/>
      <c r="R170" s="14"/>
      <c r="S170" s="14"/>
      <c r="T170" s="14"/>
      <c r="U170" s="14"/>
      <c r="V170" s="14"/>
      <c r="W170" s="14"/>
      <c r="X170" s="14"/>
      <c r="Y170" s="14"/>
      <c r="Z170" s="14"/>
      <c r="AA170" s="14"/>
      <c r="AB170" s="14"/>
      <c r="AC170" s="14"/>
      <c r="AD170" s="14"/>
      <c r="AE170" s="14"/>
      <c r="AF170" s="14"/>
      <c r="AG170" s="14"/>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G170" s="91"/>
      <c r="CH170" s="91"/>
      <c r="CI170" s="91"/>
      <c r="CJ170" s="91"/>
      <c r="CK170" s="91"/>
      <c r="CL170" s="91"/>
      <c r="CM170" s="91"/>
      <c r="CN170" s="91"/>
      <c r="CO170" s="91"/>
      <c r="CP170" s="91"/>
      <c r="CQ170" s="91"/>
      <c r="CR170" s="91"/>
      <c r="CS170" s="91"/>
      <c r="CT170" s="91"/>
      <c r="CU170" s="91"/>
      <c r="CV170" s="91"/>
    </row>
    <row r="171" spans="1:100" x14ac:dyDescent="0.2">
      <c r="A171" s="14"/>
      <c r="B171" s="14"/>
      <c r="C171" s="14"/>
      <c r="D171" s="14"/>
      <c r="E171" s="14"/>
      <c r="F171" s="14"/>
      <c r="G171" s="14"/>
      <c r="H171" s="14"/>
      <c r="I171" s="14"/>
      <c r="J171" s="14"/>
      <c r="K171" s="86"/>
      <c r="L171" s="14"/>
      <c r="M171" s="14"/>
      <c r="N171" s="14"/>
      <c r="O171" s="14"/>
      <c r="P171" s="14"/>
      <c r="Q171" s="14"/>
      <c r="R171" s="14"/>
      <c r="S171" s="14"/>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G171" s="91"/>
      <c r="CH171" s="91"/>
      <c r="CI171" s="91"/>
      <c r="CJ171" s="91"/>
      <c r="CK171" s="91"/>
      <c r="CL171" s="91"/>
      <c r="CM171" s="91"/>
      <c r="CN171" s="91"/>
      <c r="CO171" s="91"/>
      <c r="CP171" s="91"/>
      <c r="CQ171" s="91"/>
      <c r="CR171" s="91"/>
      <c r="CS171" s="91"/>
      <c r="CT171" s="91"/>
      <c r="CU171" s="91"/>
      <c r="CV171" s="91"/>
    </row>
    <row r="172" spans="1:100" x14ac:dyDescent="0.2">
      <c r="A172" s="14"/>
      <c r="B172" s="14"/>
      <c r="C172" s="14"/>
      <c r="D172" s="14"/>
      <c r="E172" s="14"/>
      <c r="F172" s="14"/>
      <c r="G172" s="14"/>
      <c r="H172" s="14"/>
      <c r="I172" s="14"/>
      <c r="J172" s="14"/>
      <c r="K172" s="86"/>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G172" s="91"/>
      <c r="CH172" s="91"/>
      <c r="CI172" s="91"/>
      <c r="CJ172" s="91"/>
      <c r="CK172" s="91"/>
      <c r="CL172" s="91"/>
      <c r="CM172" s="91"/>
      <c r="CN172" s="91"/>
      <c r="CO172" s="91"/>
      <c r="CP172" s="91"/>
      <c r="CQ172" s="91"/>
      <c r="CR172" s="91"/>
      <c r="CS172" s="91"/>
      <c r="CT172" s="91"/>
      <c r="CU172" s="91"/>
      <c r="CV172" s="91"/>
    </row>
    <row r="173" spans="1:100" x14ac:dyDescent="0.2">
      <c r="A173" s="14"/>
      <c r="B173" s="14"/>
      <c r="C173" s="14"/>
      <c r="D173" s="14"/>
      <c r="E173" s="14"/>
      <c r="F173" s="14"/>
      <c r="G173" s="14"/>
      <c r="H173" s="14"/>
      <c r="I173" s="14"/>
      <c r="J173" s="14"/>
      <c r="K173" s="86"/>
      <c r="L173" s="14"/>
      <c r="M173" s="14"/>
      <c r="N173" s="14"/>
      <c r="O173" s="14"/>
      <c r="P173" s="14"/>
      <c r="Q173" s="14"/>
      <c r="R173" s="14"/>
      <c r="S173" s="14"/>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G173" s="91"/>
      <c r="CH173" s="91"/>
      <c r="CI173" s="91"/>
      <c r="CJ173" s="91"/>
      <c r="CK173" s="91"/>
      <c r="CL173" s="91"/>
      <c r="CM173" s="91"/>
      <c r="CN173" s="91"/>
      <c r="CO173" s="91"/>
      <c r="CP173" s="91"/>
      <c r="CQ173" s="91"/>
      <c r="CR173" s="91"/>
      <c r="CS173" s="91"/>
      <c r="CT173" s="91"/>
      <c r="CU173" s="91"/>
      <c r="CV173" s="91"/>
    </row>
    <row r="174" spans="1:100" x14ac:dyDescent="0.2">
      <c r="A174" s="14"/>
      <c r="B174" s="14"/>
      <c r="C174" s="14"/>
      <c r="D174" s="14"/>
      <c r="E174" s="14"/>
      <c r="F174" s="14"/>
      <c r="G174" s="14"/>
      <c r="H174" s="14"/>
      <c r="I174" s="14"/>
      <c r="J174" s="14"/>
      <c r="K174" s="86"/>
      <c r="L174" s="14"/>
      <c r="M174" s="14"/>
      <c r="N174" s="14"/>
      <c r="O174" s="14"/>
      <c r="P174" s="14"/>
      <c r="Q174" s="14"/>
      <c r="R174" s="14"/>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G174" s="91"/>
      <c r="CH174" s="91"/>
      <c r="CI174" s="91"/>
      <c r="CJ174" s="91"/>
      <c r="CK174" s="91"/>
      <c r="CL174" s="91"/>
      <c r="CM174" s="91"/>
      <c r="CN174" s="91"/>
      <c r="CO174" s="91"/>
      <c r="CP174" s="91"/>
      <c r="CQ174" s="91"/>
      <c r="CR174" s="91"/>
      <c r="CS174" s="91"/>
      <c r="CT174" s="91"/>
      <c r="CU174" s="91"/>
      <c r="CV174" s="91"/>
    </row>
    <row r="175" spans="1:100" x14ac:dyDescent="0.2">
      <c r="A175" s="14"/>
      <c r="B175" s="14"/>
      <c r="C175" s="14"/>
      <c r="D175" s="14"/>
      <c r="E175" s="14"/>
      <c r="F175" s="14"/>
      <c r="G175" s="14"/>
      <c r="H175" s="14"/>
      <c r="I175" s="14"/>
      <c r="J175" s="14"/>
      <c r="K175" s="86"/>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G175" s="91"/>
      <c r="CH175" s="91"/>
      <c r="CI175" s="91"/>
      <c r="CJ175" s="91"/>
      <c r="CK175" s="91"/>
      <c r="CL175" s="91"/>
      <c r="CM175" s="91"/>
      <c r="CN175" s="91"/>
      <c r="CO175" s="91"/>
      <c r="CP175" s="91"/>
      <c r="CQ175" s="91"/>
      <c r="CR175" s="91"/>
      <c r="CS175" s="91"/>
      <c r="CT175" s="91"/>
      <c r="CU175" s="91"/>
      <c r="CV175" s="91"/>
    </row>
    <row r="176" spans="1:100" x14ac:dyDescent="0.2">
      <c r="A176" s="14"/>
      <c r="B176" s="14"/>
      <c r="C176" s="14"/>
      <c r="D176" s="14"/>
      <c r="E176" s="14"/>
      <c r="F176" s="14"/>
      <c r="G176" s="14"/>
      <c r="H176" s="14"/>
      <c r="I176" s="14"/>
      <c r="J176" s="14"/>
      <c r="K176" s="86"/>
      <c r="L176" s="14"/>
      <c r="M176" s="14"/>
      <c r="N176" s="14"/>
      <c r="O176" s="14"/>
      <c r="P176" s="14"/>
      <c r="Q176" s="14"/>
      <c r="R176" s="14"/>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14"/>
      <c r="AR176" s="14"/>
      <c r="AS176" s="14"/>
      <c r="AT176" s="14"/>
      <c r="AU176" s="14"/>
      <c r="AV176" s="14"/>
      <c r="AW176" s="14"/>
      <c r="AX176" s="14"/>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G176" s="91"/>
      <c r="CH176" s="91"/>
      <c r="CI176" s="91"/>
      <c r="CJ176" s="91"/>
      <c r="CK176" s="91"/>
      <c r="CL176" s="91"/>
      <c r="CM176" s="91"/>
      <c r="CN176" s="91"/>
      <c r="CO176" s="91"/>
      <c r="CP176" s="91"/>
      <c r="CQ176" s="91"/>
      <c r="CR176" s="91"/>
      <c r="CS176" s="91"/>
      <c r="CT176" s="91"/>
      <c r="CU176" s="91"/>
      <c r="CV176" s="91"/>
    </row>
    <row r="177" spans="1:100" x14ac:dyDescent="0.2">
      <c r="A177" s="14"/>
      <c r="B177" s="14"/>
      <c r="C177" s="14"/>
      <c r="D177" s="14"/>
      <c r="E177" s="14"/>
      <c r="F177" s="14"/>
      <c r="G177" s="14"/>
      <c r="H177" s="14"/>
      <c r="I177" s="14"/>
      <c r="J177" s="14"/>
      <c r="K177" s="86"/>
      <c r="L177" s="14"/>
      <c r="M177" s="14"/>
      <c r="N177" s="14"/>
      <c r="O177" s="14"/>
      <c r="P177" s="14"/>
      <c r="Q177" s="14"/>
      <c r="R177" s="14"/>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4"/>
      <c r="CC177" s="14"/>
      <c r="CD177" s="14"/>
      <c r="CE177" s="14"/>
      <c r="CF177" s="14"/>
      <c r="CG177" s="91"/>
      <c r="CH177" s="91"/>
      <c r="CI177" s="91"/>
      <c r="CJ177" s="91"/>
      <c r="CK177" s="91"/>
      <c r="CL177" s="91"/>
      <c r="CM177" s="91"/>
      <c r="CN177" s="91"/>
      <c r="CO177" s="91"/>
      <c r="CP177" s="91"/>
      <c r="CQ177" s="91"/>
      <c r="CR177" s="91"/>
      <c r="CS177" s="91"/>
      <c r="CT177" s="91"/>
      <c r="CU177" s="91"/>
      <c r="CV177" s="91"/>
    </row>
    <row r="178" spans="1:100" x14ac:dyDescent="0.2">
      <c r="A178" s="14"/>
      <c r="B178" s="14"/>
      <c r="C178" s="14"/>
      <c r="D178" s="14"/>
      <c r="E178" s="14"/>
      <c r="F178" s="14"/>
      <c r="G178" s="14"/>
      <c r="H178" s="14"/>
      <c r="I178" s="14"/>
      <c r="J178" s="14"/>
      <c r="K178" s="86"/>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4"/>
      <c r="BT178" s="14"/>
      <c r="BU178" s="14"/>
      <c r="BV178" s="14"/>
      <c r="BW178" s="14"/>
      <c r="BX178" s="14"/>
      <c r="BY178" s="14"/>
      <c r="BZ178" s="14"/>
      <c r="CA178" s="14"/>
      <c r="CB178" s="14"/>
      <c r="CC178" s="14"/>
      <c r="CD178" s="14"/>
      <c r="CE178" s="14"/>
      <c r="CF178" s="14"/>
      <c r="CG178" s="91"/>
      <c r="CH178" s="91"/>
      <c r="CI178" s="91"/>
      <c r="CJ178" s="91"/>
      <c r="CK178" s="91"/>
      <c r="CL178" s="91"/>
      <c r="CM178" s="91"/>
      <c r="CN178" s="91"/>
      <c r="CO178" s="91"/>
      <c r="CP178" s="91"/>
      <c r="CQ178" s="91"/>
      <c r="CR178" s="91"/>
      <c r="CS178" s="91"/>
      <c r="CT178" s="91"/>
      <c r="CU178" s="91"/>
      <c r="CV178" s="91"/>
    </row>
    <row r="179" spans="1:100" x14ac:dyDescent="0.2">
      <c r="A179" s="14"/>
      <c r="B179" s="14"/>
      <c r="C179" s="14"/>
      <c r="D179" s="14"/>
      <c r="E179" s="14"/>
      <c r="F179" s="14"/>
      <c r="G179" s="14"/>
      <c r="H179" s="14"/>
      <c r="I179" s="14"/>
      <c r="J179" s="14"/>
      <c r="K179" s="86"/>
      <c r="L179" s="14"/>
      <c r="M179" s="14"/>
      <c r="N179" s="14"/>
      <c r="O179" s="14"/>
      <c r="P179" s="14"/>
      <c r="Q179" s="14"/>
      <c r="R179" s="14"/>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c r="BO179" s="14"/>
      <c r="BP179" s="14"/>
      <c r="BQ179" s="14"/>
      <c r="BR179" s="14"/>
      <c r="BS179" s="14"/>
      <c r="BT179" s="14"/>
      <c r="BU179" s="14"/>
      <c r="BV179" s="14"/>
      <c r="BW179" s="14"/>
      <c r="BX179" s="14"/>
      <c r="BY179" s="14"/>
      <c r="BZ179" s="14"/>
      <c r="CA179" s="14"/>
      <c r="CB179" s="14"/>
      <c r="CC179" s="14"/>
      <c r="CD179" s="14"/>
      <c r="CE179" s="14"/>
      <c r="CF179" s="14"/>
      <c r="CG179" s="91"/>
      <c r="CH179" s="91"/>
      <c r="CI179" s="91"/>
      <c r="CJ179" s="91"/>
      <c r="CK179" s="91"/>
      <c r="CL179" s="91"/>
      <c r="CM179" s="91"/>
      <c r="CN179" s="91"/>
      <c r="CO179" s="91"/>
      <c r="CP179" s="91"/>
      <c r="CQ179" s="91"/>
      <c r="CR179" s="91"/>
      <c r="CS179" s="91"/>
      <c r="CT179" s="91"/>
      <c r="CU179" s="91"/>
      <c r="CV179" s="91"/>
    </row>
    <row r="180" spans="1:100" x14ac:dyDescent="0.2">
      <c r="A180" s="14"/>
      <c r="B180" s="14"/>
      <c r="C180" s="14"/>
      <c r="D180" s="14"/>
      <c r="E180" s="14"/>
      <c r="F180" s="14"/>
      <c r="G180" s="14"/>
      <c r="H180" s="14"/>
      <c r="I180" s="14"/>
      <c r="J180" s="14"/>
      <c r="K180" s="86"/>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14"/>
      <c r="AR180" s="14"/>
      <c r="AS180" s="14"/>
      <c r="AT180" s="14"/>
      <c r="AU180" s="14"/>
      <c r="AV180" s="14"/>
      <c r="AW180" s="14"/>
      <c r="AX180" s="14"/>
      <c r="AY180" s="14"/>
      <c r="AZ180" s="14"/>
      <c r="BA180" s="14"/>
      <c r="BB180" s="14"/>
      <c r="BC180" s="14"/>
      <c r="BD180" s="14"/>
      <c r="BE180" s="14"/>
      <c r="BF180" s="14"/>
      <c r="BG180" s="14"/>
      <c r="BH180" s="14"/>
      <c r="BI180" s="14"/>
      <c r="BJ180" s="14"/>
      <c r="BK180" s="14"/>
      <c r="BL180" s="14"/>
      <c r="BM180" s="14"/>
      <c r="BN180" s="14"/>
      <c r="BO180" s="14"/>
      <c r="BP180" s="14"/>
      <c r="BQ180" s="14"/>
      <c r="BR180" s="14"/>
      <c r="BS180" s="14"/>
      <c r="BT180" s="14"/>
      <c r="BU180" s="14"/>
      <c r="BV180" s="14"/>
      <c r="BW180" s="14"/>
      <c r="BX180" s="14"/>
      <c r="BY180" s="14"/>
      <c r="BZ180" s="14"/>
      <c r="CA180" s="14"/>
      <c r="CB180" s="14"/>
      <c r="CC180" s="14"/>
      <c r="CD180" s="14"/>
      <c r="CE180" s="14"/>
      <c r="CF180" s="14"/>
      <c r="CG180" s="91"/>
      <c r="CH180" s="91"/>
      <c r="CI180" s="91"/>
      <c r="CJ180" s="91"/>
      <c r="CK180" s="91"/>
      <c r="CL180" s="91"/>
      <c r="CM180" s="91"/>
      <c r="CN180" s="91"/>
      <c r="CO180" s="91"/>
      <c r="CP180" s="91"/>
      <c r="CQ180" s="91"/>
      <c r="CR180" s="91"/>
      <c r="CS180" s="91"/>
      <c r="CT180" s="91"/>
      <c r="CU180" s="91"/>
      <c r="CV180" s="91"/>
    </row>
    <row r="181" spans="1:100" x14ac:dyDescent="0.2">
      <c r="A181" s="14"/>
      <c r="B181" s="14"/>
      <c r="C181" s="14"/>
      <c r="D181" s="14"/>
      <c r="E181" s="14"/>
      <c r="F181" s="14"/>
      <c r="G181" s="14"/>
      <c r="H181" s="14"/>
      <c r="I181" s="14"/>
      <c r="J181" s="14"/>
      <c r="K181" s="86"/>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c r="BO181" s="14"/>
      <c r="BP181" s="14"/>
      <c r="BQ181" s="14"/>
      <c r="BR181" s="14"/>
      <c r="BS181" s="14"/>
      <c r="BT181" s="14"/>
      <c r="BU181" s="14"/>
      <c r="BV181" s="14"/>
      <c r="BW181" s="14"/>
      <c r="BX181" s="14"/>
      <c r="BY181" s="14"/>
      <c r="BZ181" s="14"/>
      <c r="CA181" s="14"/>
      <c r="CB181" s="14"/>
      <c r="CC181" s="14"/>
      <c r="CD181" s="14"/>
      <c r="CE181" s="14"/>
      <c r="CF181" s="14"/>
      <c r="CG181" s="91"/>
      <c r="CH181" s="91"/>
      <c r="CI181" s="91"/>
      <c r="CJ181" s="91"/>
      <c r="CK181" s="91"/>
      <c r="CL181" s="91"/>
      <c r="CM181" s="91"/>
      <c r="CN181" s="91"/>
      <c r="CO181" s="91"/>
      <c r="CP181" s="91"/>
      <c r="CQ181" s="91"/>
      <c r="CR181" s="91"/>
      <c r="CS181" s="91"/>
      <c r="CT181" s="91"/>
      <c r="CU181" s="91"/>
      <c r="CV181" s="91"/>
    </row>
    <row r="182" spans="1:100" x14ac:dyDescent="0.2">
      <c r="A182" s="14"/>
      <c r="B182" s="14"/>
      <c r="C182" s="14"/>
      <c r="D182" s="14"/>
      <c r="E182" s="14"/>
      <c r="F182" s="14"/>
      <c r="G182" s="14"/>
      <c r="H182" s="14"/>
      <c r="I182" s="14"/>
      <c r="J182" s="14"/>
      <c r="K182" s="86"/>
      <c r="L182" s="14"/>
      <c r="M182" s="14"/>
      <c r="N182" s="14"/>
      <c r="O182" s="14"/>
      <c r="P182" s="14"/>
      <c r="Q182" s="14"/>
      <c r="R182" s="14"/>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4"/>
      <c r="BT182" s="14"/>
      <c r="BU182" s="14"/>
      <c r="BV182" s="14"/>
      <c r="BW182" s="14"/>
      <c r="BX182" s="14"/>
      <c r="BY182" s="14"/>
      <c r="BZ182" s="14"/>
      <c r="CA182" s="14"/>
      <c r="CB182" s="14"/>
      <c r="CC182" s="14"/>
      <c r="CD182" s="14"/>
      <c r="CE182" s="14"/>
      <c r="CF182" s="14"/>
      <c r="CG182" s="91"/>
      <c r="CH182" s="91"/>
      <c r="CI182" s="91"/>
      <c r="CJ182" s="91"/>
      <c r="CK182" s="91"/>
      <c r="CL182" s="91"/>
      <c r="CM182" s="91"/>
      <c r="CN182" s="91"/>
      <c r="CO182" s="91"/>
      <c r="CP182" s="91"/>
      <c r="CQ182" s="91"/>
      <c r="CR182" s="91"/>
      <c r="CS182" s="91"/>
      <c r="CT182" s="91"/>
      <c r="CU182" s="91"/>
      <c r="CV182" s="91"/>
    </row>
    <row r="183" spans="1:100" x14ac:dyDescent="0.2">
      <c r="A183" s="14"/>
      <c r="B183" s="14"/>
      <c r="C183" s="14"/>
      <c r="D183" s="14"/>
      <c r="E183" s="14"/>
      <c r="F183" s="14"/>
      <c r="G183" s="14"/>
      <c r="H183" s="14"/>
      <c r="I183" s="14"/>
      <c r="J183" s="14"/>
      <c r="K183" s="86"/>
      <c r="L183" s="14"/>
      <c r="M183" s="14"/>
      <c r="N183" s="14"/>
      <c r="O183" s="14"/>
      <c r="P183" s="14"/>
      <c r="Q183" s="14"/>
      <c r="R183" s="14"/>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4"/>
      <c r="BT183" s="14"/>
      <c r="BU183" s="14"/>
      <c r="BV183" s="14"/>
      <c r="BW183" s="14"/>
      <c r="BX183" s="14"/>
      <c r="BY183" s="14"/>
      <c r="BZ183" s="14"/>
      <c r="CA183" s="14"/>
      <c r="CB183" s="14"/>
      <c r="CC183" s="14"/>
      <c r="CD183" s="14"/>
      <c r="CE183" s="14"/>
      <c r="CF183" s="14"/>
      <c r="CG183" s="91"/>
      <c r="CH183" s="91"/>
      <c r="CI183" s="91"/>
      <c r="CJ183" s="91"/>
      <c r="CK183" s="91"/>
      <c r="CL183" s="91"/>
      <c r="CM183" s="91"/>
      <c r="CN183" s="91"/>
      <c r="CO183" s="91"/>
      <c r="CP183" s="91"/>
      <c r="CQ183" s="91"/>
      <c r="CR183" s="91"/>
      <c r="CS183" s="91"/>
      <c r="CT183" s="91"/>
      <c r="CU183" s="91"/>
      <c r="CV183" s="91"/>
    </row>
    <row r="184" spans="1:100" x14ac:dyDescent="0.2">
      <c r="A184" s="14"/>
      <c r="B184" s="14"/>
      <c r="C184" s="14"/>
      <c r="D184" s="14"/>
      <c r="E184" s="14"/>
      <c r="F184" s="14"/>
      <c r="G184" s="14"/>
      <c r="H184" s="14"/>
      <c r="I184" s="14"/>
      <c r="J184" s="14"/>
      <c r="K184" s="86"/>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c r="BO184" s="14"/>
      <c r="BP184" s="14"/>
      <c r="BQ184" s="14"/>
      <c r="BR184" s="14"/>
      <c r="BS184" s="14"/>
      <c r="BT184" s="14"/>
      <c r="BU184" s="14"/>
      <c r="BV184" s="14"/>
      <c r="BW184" s="14"/>
      <c r="BX184" s="14"/>
      <c r="BY184" s="14"/>
      <c r="BZ184" s="14"/>
      <c r="CA184" s="14"/>
      <c r="CB184" s="14"/>
      <c r="CC184" s="14"/>
      <c r="CD184" s="14"/>
      <c r="CE184" s="14"/>
      <c r="CF184" s="14"/>
      <c r="CG184" s="91"/>
      <c r="CH184" s="91"/>
      <c r="CI184" s="91"/>
      <c r="CJ184" s="91"/>
      <c r="CK184" s="91"/>
      <c r="CL184" s="91"/>
      <c r="CM184" s="91"/>
      <c r="CN184" s="91"/>
      <c r="CO184" s="91"/>
      <c r="CP184" s="91"/>
      <c r="CQ184" s="91"/>
      <c r="CR184" s="91"/>
      <c r="CS184" s="91"/>
      <c r="CT184" s="91"/>
      <c r="CU184" s="91"/>
      <c r="CV184" s="91"/>
    </row>
    <row r="185" spans="1:100" x14ac:dyDescent="0.2">
      <c r="A185" s="14"/>
      <c r="B185" s="14"/>
      <c r="C185" s="14"/>
      <c r="D185" s="14"/>
      <c r="E185" s="14"/>
      <c r="F185" s="14"/>
      <c r="G185" s="14"/>
      <c r="H185" s="14"/>
      <c r="I185" s="14"/>
      <c r="J185" s="14"/>
      <c r="K185" s="86"/>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4"/>
      <c r="BT185" s="14"/>
      <c r="BU185" s="14"/>
      <c r="BV185" s="14"/>
      <c r="BW185" s="14"/>
      <c r="BX185" s="14"/>
      <c r="BY185" s="14"/>
      <c r="BZ185" s="14"/>
      <c r="CA185" s="14"/>
      <c r="CB185" s="14"/>
      <c r="CC185" s="14"/>
      <c r="CD185" s="14"/>
      <c r="CE185" s="14"/>
      <c r="CF185" s="14"/>
      <c r="CG185" s="91"/>
      <c r="CH185" s="91"/>
      <c r="CI185" s="91"/>
      <c r="CJ185" s="91"/>
      <c r="CK185" s="91"/>
      <c r="CL185" s="91"/>
      <c r="CM185" s="91"/>
      <c r="CN185" s="91"/>
      <c r="CO185" s="91"/>
      <c r="CP185" s="91"/>
      <c r="CQ185" s="91"/>
      <c r="CR185" s="91"/>
      <c r="CS185" s="91"/>
      <c r="CT185" s="91"/>
      <c r="CU185" s="91"/>
      <c r="CV185" s="91"/>
    </row>
    <row r="186" spans="1:100" x14ac:dyDescent="0.2">
      <c r="A186" s="14"/>
      <c r="B186" s="14"/>
      <c r="C186" s="14"/>
      <c r="D186" s="14"/>
      <c r="E186" s="14"/>
      <c r="F186" s="14"/>
      <c r="G186" s="14"/>
      <c r="H186" s="14"/>
      <c r="I186" s="14"/>
      <c r="J186" s="14"/>
      <c r="K186" s="86"/>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c r="BO186" s="14"/>
      <c r="BP186" s="14"/>
      <c r="BQ186" s="14"/>
      <c r="BR186" s="14"/>
      <c r="BS186" s="14"/>
      <c r="BT186" s="14"/>
      <c r="BU186" s="14"/>
      <c r="BV186" s="14"/>
      <c r="BW186" s="14"/>
      <c r="BX186" s="14"/>
      <c r="BY186" s="14"/>
      <c r="BZ186" s="14"/>
      <c r="CA186" s="14"/>
      <c r="CB186" s="14"/>
      <c r="CC186" s="14"/>
      <c r="CD186" s="14"/>
      <c r="CE186" s="14"/>
      <c r="CF186" s="14"/>
      <c r="CG186" s="91"/>
      <c r="CH186" s="91"/>
      <c r="CI186" s="91"/>
      <c r="CJ186" s="91"/>
      <c r="CK186" s="91"/>
      <c r="CL186" s="91"/>
      <c r="CM186" s="91"/>
      <c r="CN186" s="91"/>
      <c r="CO186" s="91"/>
      <c r="CP186" s="91"/>
      <c r="CQ186" s="91"/>
      <c r="CR186" s="91"/>
      <c r="CS186" s="91"/>
      <c r="CT186" s="91"/>
      <c r="CU186" s="91"/>
      <c r="CV186" s="91"/>
    </row>
    <row r="187" spans="1:100" x14ac:dyDescent="0.2">
      <c r="A187" s="14"/>
      <c r="B187" s="14"/>
      <c r="C187" s="14"/>
      <c r="D187" s="14"/>
      <c r="E187" s="14"/>
      <c r="F187" s="14"/>
      <c r="G187" s="14"/>
      <c r="H187" s="14"/>
      <c r="I187" s="14"/>
      <c r="J187" s="14"/>
      <c r="K187" s="86"/>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4"/>
      <c r="BT187" s="14"/>
      <c r="BU187" s="14"/>
      <c r="BV187" s="14"/>
      <c r="BW187" s="14"/>
      <c r="BX187" s="14"/>
      <c r="BY187" s="14"/>
      <c r="BZ187" s="14"/>
      <c r="CA187" s="14"/>
      <c r="CB187" s="14"/>
      <c r="CC187" s="14"/>
      <c r="CD187" s="14"/>
      <c r="CE187" s="14"/>
      <c r="CF187" s="14"/>
      <c r="CG187" s="91"/>
      <c r="CH187" s="91"/>
      <c r="CI187" s="91"/>
      <c r="CJ187" s="91"/>
      <c r="CK187" s="91"/>
      <c r="CL187" s="91"/>
      <c r="CM187" s="91"/>
      <c r="CN187" s="91"/>
      <c r="CO187" s="91"/>
      <c r="CP187" s="91"/>
      <c r="CQ187" s="91"/>
      <c r="CR187" s="91"/>
      <c r="CS187" s="91"/>
      <c r="CT187" s="91"/>
      <c r="CU187" s="91"/>
      <c r="CV187" s="91"/>
    </row>
    <row r="188" spans="1:100" x14ac:dyDescent="0.2">
      <c r="A188" s="14"/>
      <c r="B188" s="14"/>
      <c r="C188" s="14"/>
      <c r="D188" s="14"/>
      <c r="E188" s="14"/>
      <c r="F188" s="14"/>
      <c r="G188" s="14"/>
      <c r="H188" s="14"/>
      <c r="I188" s="14"/>
      <c r="J188" s="14"/>
      <c r="K188" s="86"/>
      <c r="L188" s="14"/>
      <c r="M188" s="14"/>
      <c r="N188" s="14"/>
      <c r="O188" s="14"/>
      <c r="P188" s="14"/>
      <c r="Q188" s="14"/>
      <c r="R188" s="14"/>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c r="BO188" s="14"/>
      <c r="BP188" s="14"/>
      <c r="BQ188" s="14"/>
      <c r="BR188" s="14"/>
      <c r="BS188" s="14"/>
      <c r="BT188" s="14"/>
      <c r="BU188" s="14"/>
      <c r="BV188" s="14"/>
      <c r="BW188" s="14"/>
      <c r="BX188" s="14"/>
      <c r="BY188" s="14"/>
      <c r="BZ188" s="14"/>
      <c r="CA188" s="14"/>
      <c r="CB188" s="14"/>
      <c r="CC188" s="14"/>
      <c r="CD188" s="14"/>
      <c r="CE188" s="14"/>
      <c r="CF188" s="14"/>
      <c r="CG188" s="91"/>
      <c r="CH188" s="91"/>
      <c r="CI188" s="91"/>
      <c r="CJ188" s="91"/>
      <c r="CK188" s="91"/>
      <c r="CL188" s="91"/>
      <c r="CM188" s="91"/>
      <c r="CN188" s="91"/>
      <c r="CO188" s="91"/>
      <c r="CP188" s="91"/>
      <c r="CQ188" s="91"/>
      <c r="CR188" s="91"/>
      <c r="CS188" s="91"/>
      <c r="CT188" s="91"/>
      <c r="CU188" s="91"/>
      <c r="CV188" s="91"/>
    </row>
    <row r="189" spans="1:100" x14ac:dyDescent="0.2">
      <c r="A189" s="14"/>
      <c r="B189" s="14"/>
      <c r="C189" s="14"/>
      <c r="D189" s="14"/>
      <c r="E189" s="14"/>
      <c r="F189" s="14"/>
      <c r="G189" s="14"/>
      <c r="H189" s="14"/>
      <c r="I189" s="14"/>
      <c r="J189" s="14"/>
      <c r="K189" s="86"/>
      <c r="L189" s="14"/>
      <c r="M189" s="14"/>
      <c r="N189" s="14"/>
      <c r="O189" s="14"/>
      <c r="P189" s="14"/>
      <c r="Q189" s="14"/>
      <c r="R189" s="14"/>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c r="BG189" s="14"/>
      <c r="BH189" s="14"/>
      <c r="BI189" s="14"/>
      <c r="BJ189" s="14"/>
      <c r="BK189" s="14"/>
      <c r="BL189" s="14"/>
      <c r="BM189" s="14"/>
      <c r="BN189" s="14"/>
      <c r="BO189" s="14"/>
      <c r="BP189" s="14"/>
      <c r="BQ189" s="14"/>
      <c r="BR189" s="14"/>
      <c r="BS189" s="14"/>
      <c r="BT189" s="14"/>
      <c r="BU189" s="14"/>
      <c r="BV189" s="14"/>
      <c r="BW189" s="14"/>
      <c r="BX189" s="14"/>
      <c r="BY189" s="14"/>
      <c r="BZ189" s="14"/>
      <c r="CA189" s="14"/>
      <c r="CB189" s="14"/>
      <c r="CC189" s="14"/>
      <c r="CD189" s="14"/>
      <c r="CE189" s="14"/>
      <c r="CF189" s="14"/>
      <c r="CG189" s="91"/>
      <c r="CH189" s="91"/>
      <c r="CI189" s="91"/>
      <c r="CJ189" s="91"/>
      <c r="CK189" s="91"/>
      <c r="CL189" s="91"/>
      <c r="CM189" s="91"/>
      <c r="CN189" s="91"/>
      <c r="CO189" s="91"/>
      <c r="CP189" s="91"/>
      <c r="CQ189" s="91"/>
      <c r="CR189" s="91"/>
      <c r="CS189" s="91"/>
      <c r="CT189" s="91"/>
      <c r="CU189" s="91"/>
      <c r="CV189" s="91"/>
    </row>
    <row r="190" spans="1:100" x14ac:dyDescent="0.2">
      <c r="A190" s="14"/>
      <c r="B190" s="14"/>
      <c r="C190" s="14"/>
      <c r="D190" s="14"/>
      <c r="E190" s="14"/>
      <c r="F190" s="14"/>
      <c r="G190" s="14"/>
      <c r="H190" s="14"/>
      <c r="I190" s="14"/>
      <c r="J190" s="14"/>
      <c r="K190" s="86"/>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c r="BO190" s="14"/>
      <c r="BP190" s="14"/>
      <c r="BQ190" s="14"/>
      <c r="BR190" s="14"/>
      <c r="BS190" s="14"/>
      <c r="BT190" s="14"/>
      <c r="BU190" s="14"/>
      <c r="BV190" s="14"/>
      <c r="BW190" s="14"/>
      <c r="BX190" s="14"/>
      <c r="BY190" s="14"/>
      <c r="BZ190" s="14"/>
      <c r="CA190" s="14"/>
      <c r="CB190" s="14"/>
      <c r="CC190" s="14"/>
      <c r="CD190" s="14"/>
      <c r="CE190" s="14"/>
      <c r="CF190" s="14"/>
      <c r="CG190" s="91"/>
      <c r="CH190" s="91"/>
      <c r="CI190" s="91"/>
      <c r="CJ190" s="91"/>
      <c r="CK190" s="91"/>
      <c r="CL190" s="91"/>
      <c r="CM190" s="91"/>
      <c r="CN190" s="91"/>
      <c r="CO190" s="91"/>
      <c r="CP190" s="91"/>
      <c r="CQ190" s="91"/>
      <c r="CR190" s="91"/>
      <c r="CS190" s="91"/>
      <c r="CT190" s="91"/>
      <c r="CU190" s="91"/>
      <c r="CV190" s="91"/>
    </row>
    <row r="191" spans="1:100" x14ac:dyDescent="0.2">
      <c r="A191" s="14"/>
      <c r="B191" s="14"/>
      <c r="C191" s="14"/>
      <c r="D191" s="14"/>
      <c r="E191" s="14"/>
      <c r="F191" s="14"/>
      <c r="G191" s="14"/>
      <c r="H191" s="14"/>
      <c r="I191" s="14"/>
      <c r="J191" s="14"/>
      <c r="K191" s="86"/>
      <c r="L191" s="14"/>
      <c r="M191" s="14"/>
      <c r="N191" s="14"/>
      <c r="O191" s="14"/>
      <c r="P191" s="14"/>
      <c r="Q191" s="14"/>
      <c r="R191" s="14"/>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c r="BG191" s="14"/>
      <c r="BH191" s="14"/>
      <c r="BI191" s="14"/>
      <c r="BJ191" s="14"/>
      <c r="BK191" s="14"/>
      <c r="BL191" s="14"/>
      <c r="BM191" s="14"/>
      <c r="BN191" s="14"/>
      <c r="BO191" s="14"/>
      <c r="BP191" s="14"/>
      <c r="BQ191" s="14"/>
      <c r="BR191" s="14"/>
      <c r="BS191" s="14"/>
      <c r="BT191" s="14"/>
      <c r="BU191" s="14"/>
      <c r="BV191" s="14"/>
      <c r="BW191" s="14"/>
      <c r="BX191" s="14"/>
      <c r="BY191" s="14"/>
      <c r="BZ191" s="14"/>
      <c r="CA191" s="14"/>
      <c r="CB191" s="14"/>
      <c r="CC191" s="14"/>
      <c r="CD191" s="14"/>
      <c r="CE191" s="14"/>
      <c r="CF191" s="14"/>
      <c r="CG191" s="91"/>
      <c r="CH191" s="91"/>
      <c r="CI191" s="91"/>
      <c r="CJ191" s="91"/>
      <c r="CK191" s="91"/>
      <c r="CL191" s="91"/>
      <c r="CM191" s="91"/>
      <c r="CN191" s="91"/>
      <c r="CO191" s="91"/>
      <c r="CP191" s="91"/>
      <c r="CQ191" s="91"/>
      <c r="CR191" s="91"/>
      <c r="CS191" s="91"/>
      <c r="CT191" s="91"/>
      <c r="CU191" s="91"/>
      <c r="CV191" s="91"/>
    </row>
    <row r="192" spans="1:100" x14ac:dyDescent="0.2">
      <c r="A192" s="14"/>
      <c r="B192" s="14"/>
      <c r="C192" s="14"/>
      <c r="D192" s="14"/>
      <c r="E192" s="14"/>
      <c r="F192" s="14"/>
      <c r="G192" s="14"/>
      <c r="H192" s="14"/>
      <c r="I192" s="14"/>
      <c r="J192" s="14"/>
      <c r="K192" s="86"/>
      <c r="L192" s="14"/>
      <c r="M192" s="14"/>
      <c r="N192" s="14"/>
      <c r="O192" s="14"/>
      <c r="P192" s="14"/>
      <c r="Q192" s="14"/>
      <c r="R192" s="14"/>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14"/>
      <c r="AR192" s="14"/>
      <c r="AS192" s="14"/>
      <c r="AT192" s="14"/>
      <c r="AU192" s="14"/>
      <c r="AV192" s="14"/>
      <c r="AW192" s="14"/>
      <c r="AX192" s="14"/>
      <c r="AY192" s="14"/>
      <c r="AZ192" s="14"/>
      <c r="BA192" s="14"/>
      <c r="BB192" s="14"/>
      <c r="BC192" s="14"/>
      <c r="BD192" s="14"/>
      <c r="BE192" s="14"/>
      <c r="BF192" s="14"/>
      <c r="BG192" s="14"/>
      <c r="BH192" s="14"/>
      <c r="BI192" s="14"/>
      <c r="BJ192" s="14"/>
      <c r="BK192" s="14"/>
      <c r="BL192" s="14"/>
      <c r="BM192" s="14"/>
      <c r="BN192" s="14"/>
      <c r="BO192" s="14"/>
      <c r="BP192" s="14"/>
      <c r="BQ192" s="14"/>
      <c r="BR192" s="14"/>
      <c r="BS192" s="14"/>
      <c r="BT192" s="14"/>
      <c r="BU192" s="14"/>
      <c r="BV192" s="14"/>
      <c r="BW192" s="14"/>
      <c r="BX192" s="14"/>
      <c r="BY192" s="14"/>
      <c r="BZ192" s="14"/>
      <c r="CA192" s="14"/>
      <c r="CB192" s="14"/>
      <c r="CC192" s="14"/>
      <c r="CD192" s="14"/>
      <c r="CE192" s="14"/>
      <c r="CF192" s="14"/>
      <c r="CG192" s="91"/>
      <c r="CH192" s="91"/>
      <c r="CI192" s="91"/>
      <c r="CJ192" s="91"/>
      <c r="CK192" s="91"/>
      <c r="CL192" s="91"/>
      <c r="CM192" s="91"/>
      <c r="CN192" s="91"/>
      <c r="CO192" s="91"/>
      <c r="CP192" s="91"/>
      <c r="CQ192" s="91"/>
      <c r="CR192" s="91"/>
      <c r="CS192" s="91"/>
      <c r="CT192" s="91"/>
      <c r="CU192" s="91"/>
      <c r="CV192" s="91"/>
    </row>
    <row r="193" spans="1:100" x14ac:dyDescent="0.2">
      <c r="A193" s="14"/>
      <c r="B193" s="14"/>
      <c r="C193" s="14"/>
      <c r="D193" s="14"/>
      <c r="E193" s="14"/>
      <c r="F193" s="14"/>
      <c r="G193" s="14"/>
      <c r="H193" s="14"/>
      <c r="I193" s="14"/>
      <c r="J193" s="14"/>
      <c r="K193" s="86"/>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14"/>
      <c r="AR193" s="14"/>
      <c r="AS193" s="14"/>
      <c r="AT193" s="14"/>
      <c r="AU193" s="14"/>
      <c r="AV193" s="14"/>
      <c r="AW193" s="14"/>
      <c r="AX193" s="14"/>
      <c r="AY193" s="14"/>
      <c r="AZ193" s="14"/>
      <c r="BA193" s="14"/>
      <c r="BB193" s="14"/>
      <c r="BC193" s="14"/>
      <c r="BD193" s="14"/>
      <c r="BE193" s="14"/>
      <c r="BF193" s="14"/>
      <c r="BG193" s="14"/>
      <c r="BH193" s="14"/>
      <c r="BI193" s="14"/>
      <c r="BJ193" s="14"/>
      <c r="BK193" s="14"/>
      <c r="BL193" s="14"/>
      <c r="BM193" s="14"/>
      <c r="BN193" s="14"/>
      <c r="BO193" s="14"/>
      <c r="BP193" s="14"/>
      <c r="BQ193" s="14"/>
      <c r="BR193" s="14"/>
      <c r="BS193" s="14"/>
      <c r="BT193" s="14"/>
      <c r="BU193" s="14"/>
      <c r="BV193" s="14"/>
      <c r="BW193" s="14"/>
      <c r="BX193" s="14"/>
      <c r="BY193" s="14"/>
      <c r="BZ193" s="14"/>
      <c r="CA193" s="14"/>
      <c r="CB193" s="14"/>
      <c r="CC193" s="14"/>
      <c r="CD193" s="14"/>
      <c r="CE193" s="14"/>
      <c r="CF193" s="14"/>
      <c r="CG193" s="91"/>
      <c r="CH193" s="91"/>
      <c r="CI193" s="91"/>
      <c r="CJ193" s="91"/>
      <c r="CK193" s="91"/>
      <c r="CL193" s="91"/>
      <c r="CM193" s="91"/>
      <c r="CN193" s="91"/>
      <c r="CO193" s="91"/>
      <c r="CP193" s="91"/>
      <c r="CQ193" s="91"/>
      <c r="CR193" s="91"/>
      <c r="CS193" s="91"/>
      <c r="CT193" s="91"/>
      <c r="CU193" s="91"/>
      <c r="CV193" s="91"/>
    </row>
    <row r="194" spans="1:100" x14ac:dyDescent="0.2">
      <c r="A194" s="14"/>
      <c r="B194" s="14"/>
      <c r="C194" s="14"/>
      <c r="D194" s="14"/>
      <c r="E194" s="14"/>
      <c r="F194" s="14"/>
      <c r="G194" s="14"/>
      <c r="H194" s="14"/>
      <c r="I194" s="14"/>
      <c r="J194" s="14"/>
      <c r="K194" s="86"/>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c r="BK194" s="14"/>
      <c r="BL194" s="14"/>
      <c r="BM194" s="14"/>
      <c r="BN194" s="14"/>
      <c r="BO194" s="14"/>
      <c r="BP194" s="14"/>
      <c r="BQ194" s="14"/>
      <c r="BR194" s="14"/>
      <c r="BS194" s="14"/>
      <c r="BT194" s="14"/>
      <c r="BU194" s="14"/>
      <c r="BV194" s="14"/>
      <c r="BW194" s="14"/>
      <c r="BX194" s="14"/>
      <c r="BY194" s="14"/>
      <c r="BZ194" s="14"/>
      <c r="CA194" s="14"/>
      <c r="CB194" s="14"/>
      <c r="CC194" s="14"/>
      <c r="CD194" s="14"/>
      <c r="CE194" s="14"/>
      <c r="CF194" s="14"/>
      <c r="CG194" s="91"/>
      <c r="CH194" s="91"/>
      <c r="CI194" s="91"/>
      <c r="CJ194" s="91"/>
      <c r="CK194" s="91"/>
      <c r="CL194" s="91"/>
      <c r="CM194" s="91"/>
      <c r="CN194" s="91"/>
      <c r="CO194" s="91"/>
      <c r="CP194" s="91"/>
      <c r="CQ194" s="91"/>
      <c r="CR194" s="91"/>
      <c r="CS194" s="91"/>
      <c r="CT194" s="91"/>
      <c r="CU194" s="91"/>
      <c r="CV194" s="91"/>
    </row>
    <row r="195" spans="1:100" x14ac:dyDescent="0.2">
      <c r="A195" s="14"/>
      <c r="B195" s="14"/>
      <c r="C195" s="14"/>
      <c r="D195" s="14"/>
      <c r="E195" s="14"/>
      <c r="F195" s="14"/>
      <c r="G195" s="14"/>
      <c r="H195" s="14"/>
      <c r="I195" s="14"/>
      <c r="J195" s="14"/>
      <c r="K195" s="86"/>
      <c r="L195" s="14"/>
      <c r="M195" s="14"/>
      <c r="N195" s="14"/>
      <c r="O195" s="14"/>
      <c r="P195" s="14"/>
      <c r="Q195" s="14"/>
      <c r="R195" s="14"/>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14"/>
      <c r="AR195" s="14"/>
      <c r="AS195" s="14"/>
      <c r="AT195" s="14"/>
      <c r="AU195" s="14"/>
      <c r="AV195" s="14"/>
      <c r="AW195" s="14"/>
      <c r="AX195" s="14"/>
      <c r="AY195" s="14"/>
      <c r="AZ195" s="14"/>
      <c r="BA195" s="14"/>
      <c r="BB195" s="14"/>
      <c r="BC195" s="14"/>
      <c r="BD195" s="14"/>
      <c r="BE195" s="14"/>
      <c r="BF195" s="14"/>
      <c r="BG195" s="14"/>
      <c r="BH195" s="14"/>
      <c r="BI195" s="14"/>
      <c r="BJ195" s="14"/>
      <c r="BK195" s="14"/>
      <c r="BL195" s="14"/>
      <c r="BM195" s="14"/>
      <c r="BN195" s="14"/>
      <c r="BO195" s="14"/>
      <c r="BP195" s="14"/>
      <c r="BQ195" s="14"/>
      <c r="BR195" s="14"/>
      <c r="BS195" s="14"/>
      <c r="BT195" s="14"/>
      <c r="BU195" s="14"/>
      <c r="BV195" s="14"/>
      <c r="BW195" s="14"/>
      <c r="BX195" s="14"/>
      <c r="BY195" s="14"/>
      <c r="BZ195" s="14"/>
      <c r="CA195" s="14"/>
      <c r="CB195" s="14"/>
      <c r="CC195" s="14"/>
      <c r="CD195" s="14"/>
      <c r="CE195" s="14"/>
      <c r="CF195" s="14"/>
      <c r="CG195" s="91"/>
      <c r="CH195" s="91"/>
      <c r="CI195" s="91"/>
      <c r="CJ195" s="91"/>
      <c r="CK195" s="91"/>
      <c r="CL195" s="91"/>
      <c r="CM195" s="91"/>
      <c r="CN195" s="91"/>
      <c r="CO195" s="91"/>
      <c r="CP195" s="91"/>
      <c r="CQ195" s="91"/>
      <c r="CR195" s="91"/>
      <c r="CS195" s="91"/>
      <c r="CT195" s="91"/>
      <c r="CU195" s="91"/>
      <c r="CV195" s="91"/>
    </row>
    <row r="196" spans="1:100" x14ac:dyDescent="0.2">
      <c r="A196" s="14"/>
      <c r="B196" s="14"/>
      <c r="C196" s="14"/>
      <c r="D196" s="14"/>
      <c r="E196" s="14"/>
      <c r="F196" s="14"/>
      <c r="G196" s="14"/>
      <c r="H196" s="14"/>
      <c r="I196" s="14"/>
      <c r="J196" s="14"/>
      <c r="K196" s="86"/>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14"/>
      <c r="AR196" s="14"/>
      <c r="AS196" s="14"/>
      <c r="AT196" s="14"/>
      <c r="AU196" s="14"/>
      <c r="AV196" s="14"/>
      <c r="AW196" s="14"/>
      <c r="AX196" s="14"/>
      <c r="AY196" s="14"/>
      <c r="AZ196" s="14"/>
      <c r="BA196" s="14"/>
      <c r="BB196" s="14"/>
      <c r="BC196" s="14"/>
      <c r="BD196" s="14"/>
      <c r="BE196" s="14"/>
      <c r="BF196" s="14"/>
      <c r="BG196" s="14"/>
      <c r="BH196" s="14"/>
      <c r="BI196" s="14"/>
      <c r="BJ196" s="14"/>
      <c r="BK196" s="14"/>
      <c r="BL196" s="14"/>
      <c r="BM196" s="14"/>
      <c r="BN196" s="14"/>
      <c r="BO196" s="14"/>
      <c r="BP196" s="14"/>
      <c r="BQ196" s="14"/>
      <c r="BR196" s="14"/>
      <c r="BS196" s="14"/>
      <c r="BT196" s="14"/>
      <c r="BU196" s="14"/>
      <c r="BV196" s="14"/>
      <c r="BW196" s="14"/>
      <c r="BX196" s="14"/>
      <c r="BY196" s="14"/>
      <c r="BZ196" s="14"/>
      <c r="CA196" s="14"/>
      <c r="CB196" s="14"/>
      <c r="CC196" s="14"/>
      <c r="CD196" s="14"/>
      <c r="CE196" s="14"/>
      <c r="CF196" s="14"/>
      <c r="CG196" s="91"/>
      <c r="CH196" s="91"/>
      <c r="CI196" s="91"/>
      <c r="CJ196" s="91"/>
      <c r="CK196" s="91"/>
      <c r="CL196" s="91"/>
      <c r="CM196" s="91"/>
      <c r="CN196" s="91"/>
      <c r="CO196" s="91"/>
      <c r="CP196" s="91"/>
      <c r="CQ196" s="91"/>
      <c r="CR196" s="91"/>
      <c r="CS196" s="91"/>
      <c r="CT196" s="91"/>
      <c r="CU196" s="91"/>
      <c r="CV196" s="91"/>
    </row>
    <row r="197" spans="1:100" x14ac:dyDescent="0.2">
      <c r="A197" s="14"/>
      <c r="B197" s="14"/>
      <c r="C197" s="14"/>
      <c r="D197" s="14"/>
      <c r="E197" s="14"/>
      <c r="F197" s="14"/>
      <c r="G197" s="14"/>
      <c r="H197" s="14"/>
      <c r="I197" s="14"/>
      <c r="J197" s="14"/>
      <c r="K197" s="86"/>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c r="AS197" s="14"/>
      <c r="AT197" s="14"/>
      <c r="AU197" s="14"/>
      <c r="AV197" s="14"/>
      <c r="AW197" s="14"/>
      <c r="AX197" s="14"/>
      <c r="AY197" s="14"/>
      <c r="AZ197" s="14"/>
      <c r="BA197" s="14"/>
      <c r="BB197" s="14"/>
      <c r="BC197" s="14"/>
      <c r="BD197" s="14"/>
      <c r="BE197" s="14"/>
      <c r="BF197" s="14"/>
      <c r="BG197" s="14"/>
      <c r="BH197" s="14"/>
      <c r="BI197" s="14"/>
      <c r="BJ197" s="14"/>
      <c r="BK197" s="14"/>
      <c r="BL197" s="14"/>
      <c r="BM197" s="14"/>
      <c r="BN197" s="14"/>
      <c r="BO197" s="14"/>
      <c r="BP197" s="14"/>
      <c r="BQ197" s="14"/>
      <c r="BR197" s="14"/>
      <c r="BS197" s="14"/>
      <c r="BT197" s="14"/>
      <c r="BU197" s="14"/>
      <c r="BV197" s="14"/>
      <c r="BW197" s="14"/>
      <c r="BX197" s="14"/>
      <c r="BY197" s="14"/>
      <c r="BZ197" s="14"/>
      <c r="CA197" s="14"/>
      <c r="CB197" s="14"/>
      <c r="CC197" s="14"/>
      <c r="CD197" s="14"/>
      <c r="CE197" s="14"/>
      <c r="CF197" s="14"/>
      <c r="CG197" s="91"/>
      <c r="CH197" s="91"/>
      <c r="CI197" s="91"/>
      <c r="CJ197" s="91"/>
      <c r="CK197" s="91"/>
      <c r="CL197" s="91"/>
      <c r="CM197" s="91"/>
      <c r="CN197" s="91"/>
      <c r="CO197" s="91"/>
      <c r="CP197" s="91"/>
      <c r="CQ197" s="91"/>
      <c r="CR197" s="91"/>
      <c r="CS197" s="91"/>
      <c r="CT197" s="91"/>
      <c r="CU197" s="91"/>
      <c r="CV197" s="91"/>
    </row>
    <row r="198" spans="1:100" x14ac:dyDescent="0.2">
      <c r="A198" s="14"/>
      <c r="B198" s="14"/>
      <c r="C198" s="14"/>
      <c r="D198" s="14"/>
      <c r="E198" s="14"/>
      <c r="F198" s="14"/>
      <c r="G198" s="14"/>
      <c r="H198" s="14"/>
      <c r="I198" s="14"/>
      <c r="J198" s="14"/>
      <c r="K198" s="86"/>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14"/>
      <c r="AR198" s="14"/>
      <c r="AS198" s="14"/>
      <c r="AT198" s="14"/>
      <c r="AU198" s="14"/>
      <c r="AV198" s="14"/>
      <c r="AW198" s="14"/>
      <c r="AX198" s="14"/>
      <c r="AY198" s="14"/>
      <c r="AZ198" s="14"/>
      <c r="BA198" s="14"/>
      <c r="BB198" s="14"/>
      <c r="BC198" s="14"/>
      <c r="BD198" s="14"/>
      <c r="BE198" s="14"/>
      <c r="BF198" s="14"/>
      <c r="BG198" s="14"/>
      <c r="BH198" s="14"/>
      <c r="BI198" s="14"/>
      <c r="BJ198" s="14"/>
      <c r="BK198" s="14"/>
      <c r="BL198" s="14"/>
      <c r="BM198" s="14"/>
      <c r="BN198" s="14"/>
      <c r="BO198" s="14"/>
      <c r="BP198" s="14"/>
      <c r="BQ198" s="14"/>
      <c r="BR198" s="14"/>
      <c r="BS198" s="14"/>
      <c r="BT198" s="14"/>
      <c r="BU198" s="14"/>
      <c r="BV198" s="14"/>
      <c r="BW198" s="14"/>
      <c r="BX198" s="14"/>
      <c r="BY198" s="14"/>
      <c r="BZ198" s="14"/>
      <c r="CA198" s="14"/>
      <c r="CB198" s="14"/>
      <c r="CC198" s="14"/>
      <c r="CD198" s="14"/>
      <c r="CE198" s="14"/>
      <c r="CF198" s="14"/>
      <c r="CG198" s="91"/>
      <c r="CH198" s="91"/>
      <c r="CI198" s="91"/>
      <c r="CJ198" s="91"/>
      <c r="CK198" s="91"/>
      <c r="CL198" s="91"/>
      <c r="CM198" s="91"/>
      <c r="CN198" s="91"/>
      <c r="CO198" s="91"/>
      <c r="CP198" s="91"/>
      <c r="CQ198" s="91"/>
      <c r="CR198" s="91"/>
      <c r="CS198" s="91"/>
      <c r="CT198" s="91"/>
      <c r="CU198" s="91"/>
      <c r="CV198" s="91"/>
    </row>
    <row r="199" spans="1:100" x14ac:dyDescent="0.2">
      <c r="A199" s="14"/>
      <c r="B199" s="14"/>
      <c r="C199" s="14"/>
      <c r="D199" s="14"/>
      <c r="E199" s="14"/>
      <c r="F199" s="14"/>
      <c r="G199" s="14"/>
      <c r="H199" s="14"/>
      <c r="I199" s="14"/>
      <c r="J199" s="14"/>
      <c r="K199" s="86"/>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c r="AS199" s="14"/>
      <c r="AT199" s="14"/>
      <c r="AU199" s="14"/>
      <c r="AV199" s="14"/>
      <c r="AW199" s="14"/>
      <c r="AX199" s="14"/>
      <c r="AY199" s="14"/>
      <c r="AZ199" s="14"/>
      <c r="BA199" s="14"/>
      <c r="BB199" s="14"/>
      <c r="BC199" s="14"/>
      <c r="BD199" s="14"/>
      <c r="BE199" s="14"/>
      <c r="BF199" s="14"/>
      <c r="BG199" s="14"/>
      <c r="BH199" s="14"/>
      <c r="BI199" s="14"/>
      <c r="BJ199" s="14"/>
      <c r="BK199" s="14"/>
      <c r="BL199" s="14"/>
      <c r="BM199" s="14"/>
      <c r="BN199" s="14"/>
      <c r="BO199" s="14"/>
      <c r="BP199" s="14"/>
      <c r="BQ199" s="14"/>
      <c r="BR199" s="14"/>
      <c r="BS199" s="14"/>
      <c r="BT199" s="14"/>
      <c r="BU199" s="14"/>
      <c r="BV199" s="14"/>
      <c r="BW199" s="14"/>
      <c r="BX199" s="14"/>
      <c r="BY199" s="14"/>
      <c r="BZ199" s="14"/>
      <c r="CA199" s="14"/>
      <c r="CB199" s="14"/>
      <c r="CC199" s="14"/>
      <c r="CD199" s="14"/>
      <c r="CE199" s="14"/>
      <c r="CF199" s="14"/>
      <c r="CG199" s="91"/>
      <c r="CH199" s="91"/>
      <c r="CI199" s="91"/>
      <c r="CJ199" s="91"/>
      <c r="CK199" s="91"/>
      <c r="CL199" s="91"/>
      <c r="CM199" s="91"/>
      <c r="CN199" s="91"/>
      <c r="CO199" s="91"/>
      <c r="CP199" s="91"/>
      <c r="CQ199" s="91"/>
      <c r="CR199" s="91"/>
      <c r="CS199" s="91"/>
      <c r="CT199" s="91"/>
      <c r="CU199" s="91"/>
      <c r="CV199" s="91"/>
    </row>
    <row r="200" spans="1:100" x14ac:dyDescent="0.2">
      <c r="A200" s="14"/>
      <c r="B200" s="14"/>
      <c r="C200" s="14"/>
      <c r="D200" s="14"/>
      <c r="E200" s="14"/>
      <c r="F200" s="14"/>
      <c r="G200" s="14"/>
      <c r="H200" s="14"/>
      <c r="I200" s="14"/>
      <c r="J200" s="14"/>
      <c r="K200" s="86"/>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c r="BO200" s="14"/>
      <c r="BP200" s="14"/>
      <c r="BQ200" s="14"/>
      <c r="BR200" s="14"/>
      <c r="BS200" s="14"/>
      <c r="BT200" s="14"/>
      <c r="BU200" s="14"/>
      <c r="BV200" s="14"/>
      <c r="BW200" s="14"/>
      <c r="BX200" s="14"/>
      <c r="BY200" s="14"/>
      <c r="BZ200" s="14"/>
      <c r="CA200" s="14"/>
      <c r="CB200" s="14"/>
      <c r="CC200" s="14"/>
      <c r="CD200" s="14"/>
      <c r="CE200" s="14"/>
      <c r="CF200" s="14"/>
      <c r="CG200" s="91"/>
      <c r="CH200" s="91"/>
      <c r="CI200" s="91"/>
      <c r="CJ200" s="91"/>
      <c r="CK200" s="91"/>
      <c r="CL200" s="91"/>
      <c r="CM200" s="91"/>
      <c r="CN200" s="91"/>
      <c r="CO200" s="91"/>
      <c r="CP200" s="91"/>
      <c r="CQ200" s="91"/>
      <c r="CR200" s="91"/>
      <c r="CS200" s="91"/>
      <c r="CT200" s="91"/>
      <c r="CU200" s="91"/>
      <c r="CV200" s="91"/>
    </row>
    <row r="201" spans="1:100" x14ac:dyDescent="0.2">
      <c r="A201" s="14"/>
      <c r="B201" s="14"/>
      <c r="C201" s="14"/>
      <c r="D201" s="14"/>
      <c r="E201" s="14"/>
      <c r="F201" s="14"/>
      <c r="G201" s="14"/>
      <c r="H201" s="14"/>
      <c r="I201" s="14"/>
      <c r="J201" s="14"/>
      <c r="K201" s="86"/>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c r="AS201" s="14"/>
      <c r="AT201" s="14"/>
      <c r="AU201" s="14"/>
      <c r="AV201" s="14"/>
      <c r="AW201" s="14"/>
      <c r="AX201" s="14"/>
      <c r="AY201" s="14"/>
      <c r="AZ201" s="14"/>
      <c r="BA201" s="14"/>
      <c r="BB201" s="14"/>
      <c r="BC201" s="14"/>
      <c r="BD201" s="14"/>
      <c r="BE201" s="14"/>
      <c r="BF201" s="14"/>
      <c r="BG201" s="14"/>
      <c r="BH201" s="14"/>
      <c r="BI201" s="14"/>
      <c r="BJ201" s="14"/>
      <c r="BK201" s="14"/>
      <c r="BL201" s="14"/>
      <c r="BM201" s="14"/>
      <c r="BN201" s="14"/>
      <c r="BO201" s="14"/>
      <c r="BP201" s="14"/>
      <c r="BQ201" s="14"/>
      <c r="BR201" s="14"/>
      <c r="BS201" s="14"/>
      <c r="BT201" s="14"/>
      <c r="BU201" s="14"/>
      <c r="BV201" s="14"/>
      <c r="BW201" s="14"/>
      <c r="BX201" s="14"/>
      <c r="BY201" s="14"/>
      <c r="BZ201" s="14"/>
      <c r="CA201" s="14"/>
      <c r="CB201" s="14"/>
      <c r="CC201" s="14"/>
      <c r="CD201" s="14"/>
      <c r="CE201" s="14"/>
      <c r="CF201" s="14"/>
      <c r="CG201" s="91"/>
      <c r="CH201" s="91"/>
      <c r="CI201" s="91"/>
      <c r="CJ201" s="91"/>
      <c r="CK201" s="91"/>
      <c r="CL201" s="91"/>
      <c r="CM201" s="91"/>
      <c r="CN201" s="91"/>
      <c r="CO201" s="91"/>
      <c r="CP201" s="91"/>
      <c r="CQ201" s="91"/>
      <c r="CR201" s="91"/>
      <c r="CS201" s="91"/>
      <c r="CT201" s="91"/>
      <c r="CU201" s="91"/>
      <c r="CV201" s="91"/>
    </row>
    <row r="202" spans="1:100" x14ac:dyDescent="0.2">
      <c r="A202" s="14"/>
      <c r="B202" s="14"/>
      <c r="C202" s="14"/>
      <c r="D202" s="14"/>
      <c r="E202" s="14"/>
      <c r="F202" s="14"/>
      <c r="G202" s="14"/>
      <c r="H202" s="14"/>
      <c r="I202" s="14"/>
      <c r="J202" s="14"/>
      <c r="K202" s="86"/>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4"/>
      <c r="BT202" s="14"/>
      <c r="BU202" s="14"/>
      <c r="BV202" s="14"/>
      <c r="BW202" s="14"/>
      <c r="BX202" s="14"/>
      <c r="BY202" s="14"/>
      <c r="BZ202" s="14"/>
      <c r="CA202" s="14"/>
      <c r="CB202" s="14"/>
      <c r="CC202" s="14"/>
      <c r="CD202" s="14"/>
      <c r="CE202" s="14"/>
      <c r="CF202" s="14"/>
      <c r="CG202" s="91"/>
      <c r="CH202" s="91"/>
      <c r="CI202" s="91"/>
      <c r="CJ202" s="91"/>
      <c r="CK202" s="91"/>
      <c r="CL202" s="91"/>
      <c r="CM202" s="91"/>
      <c r="CN202" s="91"/>
      <c r="CO202" s="91"/>
      <c r="CP202" s="91"/>
      <c r="CQ202" s="91"/>
      <c r="CR202" s="91"/>
      <c r="CS202" s="91"/>
      <c r="CT202" s="91"/>
      <c r="CU202" s="91"/>
      <c r="CV202" s="91"/>
    </row>
    <row r="203" spans="1:100" x14ac:dyDescent="0.2">
      <c r="A203" s="14"/>
      <c r="B203" s="14"/>
      <c r="C203" s="14"/>
      <c r="D203" s="14"/>
      <c r="E203" s="14"/>
      <c r="F203" s="14"/>
      <c r="G203" s="14"/>
      <c r="H203" s="14"/>
      <c r="I203" s="14"/>
      <c r="J203" s="14"/>
      <c r="K203" s="86"/>
      <c r="L203" s="14"/>
      <c r="M203" s="14"/>
      <c r="N203" s="14"/>
      <c r="O203" s="14"/>
      <c r="P203" s="14"/>
      <c r="Q203" s="14"/>
      <c r="R203" s="14"/>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4"/>
      <c r="BT203" s="14"/>
      <c r="BU203" s="14"/>
      <c r="BV203" s="14"/>
      <c r="BW203" s="14"/>
      <c r="BX203" s="14"/>
      <c r="BY203" s="14"/>
      <c r="BZ203" s="14"/>
      <c r="CA203" s="14"/>
      <c r="CB203" s="14"/>
      <c r="CC203" s="14"/>
      <c r="CD203" s="14"/>
      <c r="CE203" s="14"/>
      <c r="CF203" s="14"/>
      <c r="CG203" s="91"/>
      <c r="CH203" s="91"/>
      <c r="CI203" s="91"/>
      <c r="CJ203" s="91"/>
      <c r="CK203" s="91"/>
      <c r="CL203" s="91"/>
      <c r="CM203" s="91"/>
      <c r="CN203" s="91"/>
      <c r="CO203" s="91"/>
      <c r="CP203" s="91"/>
      <c r="CQ203" s="91"/>
      <c r="CR203" s="91"/>
      <c r="CS203" s="91"/>
      <c r="CT203" s="91"/>
      <c r="CU203" s="91"/>
      <c r="CV203" s="91"/>
    </row>
    <row r="204" spans="1:100" x14ac:dyDescent="0.2">
      <c r="A204" s="14"/>
      <c r="B204" s="14"/>
      <c r="C204" s="14"/>
      <c r="D204" s="14"/>
      <c r="E204" s="14"/>
      <c r="F204" s="14"/>
      <c r="G204" s="14"/>
      <c r="H204" s="14"/>
      <c r="I204" s="14"/>
      <c r="J204" s="14"/>
      <c r="K204" s="86"/>
      <c r="L204" s="14"/>
      <c r="M204" s="14"/>
      <c r="N204" s="14"/>
      <c r="O204" s="14"/>
      <c r="P204" s="14"/>
      <c r="Q204" s="14"/>
      <c r="R204" s="14"/>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14"/>
      <c r="AR204" s="14"/>
      <c r="AS204" s="14"/>
      <c r="AT204" s="14"/>
      <c r="AU204" s="14"/>
      <c r="AV204" s="14"/>
      <c r="AW204" s="14"/>
      <c r="AX204" s="14"/>
      <c r="AY204" s="14"/>
      <c r="AZ204" s="14"/>
      <c r="BA204" s="14"/>
      <c r="BB204" s="14"/>
      <c r="BC204" s="14"/>
      <c r="BD204" s="14"/>
      <c r="BE204" s="14"/>
      <c r="BF204" s="14"/>
      <c r="BG204" s="14"/>
      <c r="BH204" s="14"/>
      <c r="BI204" s="14"/>
      <c r="BJ204" s="14"/>
      <c r="BK204" s="14"/>
      <c r="BL204" s="14"/>
      <c r="BM204" s="14"/>
      <c r="BN204" s="14"/>
      <c r="BO204" s="14"/>
      <c r="BP204" s="14"/>
      <c r="BQ204" s="14"/>
      <c r="BR204" s="14"/>
      <c r="BS204" s="14"/>
      <c r="BT204" s="14"/>
      <c r="BU204" s="14"/>
      <c r="BV204" s="14"/>
      <c r="BW204" s="14"/>
      <c r="BX204" s="14"/>
      <c r="BY204" s="14"/>
      <c r="BZ204" s="14"/>
      <c r="CA204" s="14"/>
      <c r="CB204" s="14"/>
      <c r="CC204" s="14"/>
      <c r="CD204" s="14"/>
      <c r="CE204" s="14"/>
      <c r="CF204" s="14"/>
      <c r="CG204" s="91"/>
      <c r="CH204" s="91"/>
      <c r="CI204" s="91"/>
      <c r="CJ204" s="91"/>
      <c r="CK204" s="91"/>
      <c r="CL204" s="91"/>
      <c r="CM204" s="91"/>
      <c r="CN204" s="91"/>
      <c r="CO204" s="91"/>
      <c r="CP204" s="91"/>
      <c r="CQ204" s="91"/>
      <c r="CR204" s="91"/>
      <c r="CS204" s="91"/>
      <c r="CT204" s="91"/>
      <c r="CU204" s="91"/>
      <c r="CV204" s="91"/>
    </row>
    <row r="205" spans="1:100" x14ac:dyDescent="0.2">
      <c r="A205" s="14"/>
      <c r="B205" s="14"/>
      <c r="C205" s="14"/>
      <c r="D205" s="14"/>
      <c r="E205" s="14"/>
      <c r="F205" s="14"/>
      <c r="G205" s="14"/>
      <c r="H205" s="14"/>
      <c r="I205" s="14"/>
      <c r="J205" s="14"/>
      <c r="K205" s="86"/>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4"/>
      <c r="BT205" s="14"/>
      <c r="BU205" s="14"/>
      <c r="BV205" s="14"/>
      <c r="BW205" s="14"/>
      <c r="BX205" s="14"/>
      <c r="BY205" s="14"/>
      <c r="BZ205" s="14"/>
      <c r="CA205" s="14"/>
      <c r="CB205" s="14"/>
      <c r="CC205" s="14"/>
      <c r="CD205" s="14"/>
      <c r="CE205" s="14"/>
      <c r="CF205" s="14"/>
      <c r="CG205" s="91"/>
      <c r="CH205" s="91"/>
      <c r="CI205" s="91"/>
      <c r="CJ205" s="91"/>
      <c r="CK205" s="91"/>
      <c r="CL205" s="91"/>
      <c r="CM205" s="91"/>
      <c r="CN205" s="91"/>
      <c r="CO205" s="91"/>
      <c r="CP205" s="91"/>
      <c r="CQ205" s="91"/>
      <c r="CR205" s="91"/>
      <c r="CS205" s="91"/>
      <c r="CT205" s="91"/>
      <c r="CU205" s="91"/>
      <c r="CV205" s="91"/>
    </row>
    <row r="206" spans="1:100" x14ac:dyDescent="0.2">
      <c r="A206" s="14"/>
      <c r="B206" s="14"/>
      <c r="C206" s="14"/>
      <c r="D206" s="14"/>
      <c r="E206" s="14"/>
      <c r="F206" s="14"/>
      <c r="G206" s="14"/>
      <c r="H206" s="14"/>
      <c r="I206" s="14"/>
      <c r="J206" s="14"/>
      <c r="K206" s="86"/>
      <c r="L206" s="14"/>
      <c r="M206" s="14"/>
      <c r="N206" s="14"/>
      <c r="O206" s="14"/>
      <c r="P206" s="14"/>
      <c r="Q206" s="14"/>
      <c r="R206" s="14"/>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14"/>
      <c r="AR206" s="14"/>
      <c r="AS206" s="14"/>
      <c r="AT206" s="14"/>
      <c r="AU206" s="14"/>
      <c r="AV206" s="14"/>
      <c r="AW206" s="14"/>
      <c r="AX206" s="14"/>
      <c r="AY206" s="14"/>
      <c r="AZ206" s="14"/>
      <c r="BA206" s="14"/>
      <c r="BB206" s="14"/>
      <c r="BC206" s="14"/>
      <c r="BD206" s="14"/>
      <c r="BE206" s="14"/>
      <c r="BF206" s="14"/>
      <c r="BG206" s="14"/>
      <c r="BH206" s="14"/>
      <c r="BI206" s="14"/>
      <c r="BJ206" s="14"/>
      <c r="BK206" s="14"/>
      <c r="BL206" s="14"/>
      <c r="BM206" s="14"/>
      <c r="BN206" s="14"/>
      <c r="BO206" s="14"/>
      <c r="BP206" s="14"/>
      <c r="BQ206" s="14"/>
      <c r="BR206" s="14"/>
      <c r="BS206" s="14"/>
      <c r="BT206" s="14"/>
      <c r="BU206" s="14"/>
      <c r="BV206" s="14"/>
      <c r="BW206" s="14"/>
      <c r="BX206" s="14"/>
      <c r="BY206" s="14"/>
      <c r="BZ206" s="14"/>
      <c r="CA206" s="14"/>
      <c r="CB206" s="14"/>
      <c r="CC206" s="14"/>
      <c r="CD206" s="14"/>
      <c r="CE206" s="14"/>
      <c r="CF206" s="14"/>
      <c r="CG206" s="91"/>
      <c r="CH206" s="91"/>
      <c r="CI206" s="91"/>
      <c r="CJ206" s="91"/>
      <c r="CK206" s="91"/>
      <c r="CL206" s="91"/>
      <c r="CM206" s="91"/>
      <c r="CN206" s="91"/>
      <c r="CO206" s="91"/>
      <c r="CP206" s="91"/>
      <c r="CQ206" s="91"/>
      <c r="CR206" s="91"/>
      <c r="CS206" s="91"/>
      <c r="CT206" s="91"/>
      <c r="CU206" s="91"/>
      <c r="CV206" s="91"/>
    </row>
    <row r="207" spans="1:100" x14ac:dyDescent="0.2">
      <c r="A207" s="14"/>
      <c r="B207" s="14"/>
      <c r="C207" s="14"/>
      <c r="D207" s="14"/>
      <c r="E207" s="14"/>
      <c r="F207" s="14"/>
      <c r="G207" s="14"/>
      <c r="H207" s="14"/>
      <c r="I207" s="14"/>
      <c r="J207" s="14"/>
      <c r="K207" s="86"/>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c r="AS207" s="14"/>
      <c r="AT207" s="14"/>
      <c r="AU207" s="14"/>
      <c r="AV207" s="14"/>
      <c r="AW207" s="14"/>
      <c r="AX207" s="14"/>
      <c r="AY207" s="14"/>
      <c r="AZ207" s="14"/>
      <c r="BA207" s="14"/>
      <c r="BB207" s="14"/>
      <c r="BC207" s="14"/>
      <c r="BD207" s="14"/>
      <c r="BE207" s="14"/>
      <c r="BF207" s="14"/>
      <c r="BG207" s="14"/>
      <c r="BH207" s="14"/>
      <c r="BI207" s="14"/>
      <c r="BJ207" s="14"/>
      <c r="BK207" s="14"/>
      <c r="BL207" s="14"/>
      <c r="BM207" s="14"/>
      <c r="BN207" s="14"/>
      <c r="BO207" s="14"/>
      <c r="BP207" s="14"/>
      <c r="BQ207" s="14"/>
      <c r="BR207" s="14"/>
      <c r="BS207" s="14"/>
      <c r="BT207" s="14"/>
      <c r="BU207" s="14"/>
      <c r="BV207" s="14"/>
      <c r="BW207" s="14"/>
      <c r="BX207" s="14"/>
      <c r="BY207" s="14"/>
      <c r="BZ207" s="14"/>
      <c r="CA207" s="14"/>
      <c r="CB207" s="14"/>
      <c r="CC207" s="14"/>
      <c r="CD207" s="14"/>
      <c r="CE207" s="14"/>
      <c r="CF207" s="14"/>
      <c r="CG207" s="91"/>
      <c r="CH207" s="91"/>
      <c r="CI207" s="91"/>
      <c r="CJ207" s="91"/>
      <c r="CK207" s="91"/>
      <c r="CL207" s="91"/>
      <c r="CM207" s="91"/>
      <c r="CN207" s="91"/>
      <c r="CO207" s="91"/>
      <c r="CP207" s="91"/>
      <c r="CQ207" s="91"/>
      <c r="CR207" s="91"/>
      <c r="CS207" s="91"/>
      <c r="CT207" s="91"/>
      <c r="CU207" s="91"/>
      <c r="CV207" s="91"/>
    </row>
    <row r="208" spans="1:100" x14ac:dyDescent="0.2">
      <c r="A208" s="14"/>
      <c r="B208" s="14"/>
      <c r="C208" s="14"/>
      <c r="D208" s="14"/>
      <c r="E208" s="14"/>
      <c r="F208" s="14"/>
      <c r="G208" s="14"/>
      <c r="H208" s="14"/>
      <c r="I208" s="14"/>
      <c r="J208" s="14"/>
      <c r="K208" s="86"/>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c r="BK208" s="14"/>
      <c r="BL208" s="14"/>
      <c r="BM208" s="14"/>
      <c r="BN208" s="14"/>
      <c r="BO208" s="14"/>
      <c r="BP208" s="14"/>
      <c r="BQ208" s="14"/>
      <c r="BR208" s="14"/>
      <c r="BS208" s="14"/>
      <c r="BT208" s="14"/>
      <c r="BU208" s="14"/>
      <c r="BV208" s="14"/>
      <c r="BW208" s="14"/>
      <c r="BX208" s="14"/>
      <c r="BY208" s="14"/>
      <c r="BZ208" s="14"/>
      <c r="CA208" s="14"/>
      <c r="CB208" s="14"/>
      <c r="CC208" s="14"/>
      <c r="CD208" s="14"/>
      <c r="CE208" s="14"/>
      <c r="CF208" s="14"/>
      <c r="CG208" s="91"/>
      <c r="CH208" s="91"/>
      <c r="CI208" s="91"/>
      <c r="CJ208" s="91"/>
      <c r="CK208" s="91"/>
      <c r="CL208" s="91"/>
      <c r="CM208" s="91"/>
      <c r="CN208" s="91"/>
      <c r="CO208" s="91"/>
      <c r="CP208" s="91"/>
      <c r="CQ208" s="91"/>
      <c r="CR208" s="91"/>
      <c r="CS208" s="91"/>
      <c r="CT208" s="91"/>
      <c r="CU208" s="91"/>
      <c r="CV208" s="91"/>
    </row>
    <row r="209" spans="1:100" x14ac:dyDescent="0.2">
      <c r="A209" s="14"/>
      <c r="B209" s="14"/>
      <c r="C209" s="14"/>
      <c r="D209" s="14"/>
      <c r="E209" s="14"/>
      <c r="F209" s="14"/>
      <c r="G209" s="14"/>
      <c r="H209" s="14"/>
      <c r="I209" s="14"/>
      <c r="J209" s="14"/>
      <c r="K209" s="86"/>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c r="AS209" s="14"/>
      <c r="AT209" s="14"/>
      <c r="AU209" s="14"/>
      <c r="AV209" s="14"/>
      <c r="AW209" s="14"/>
      <c r="AX209" s="14"/>
      <c r="AY209" s="14"/>
      <c r="AZ209" s="14"/>
      <c r="BA209" s="14"/>
      <c r="BB209" s="14"/>
      <c r="BC209" s="14"/>
      <c r="BD209" s="14"/>
      <c r="BE209" s="14"/>
      <c r="BF209" s="14"/>
      <c r="BG209" s="14"/>
      <c r="BH209" s="14"/>
      <c r="BI209" s="14"/>
      <c r="BJ209" s="14"/>
      <c r="BK209" s="14"/>
      <c r="BL209" s="14"/>
      <c r="BM209" s="14"/>
      <c r="BN209" s="14"/>
      <c r="BO209" s="14"/>
      <c r="BP209" s="14"/>
      <c r="BQ209" s="14"/>
      <c r="BR209" s="14"/>
      <c r="BS209" s="14"/>
      <c r="BT209" s="14"/>
      <c r="BU209" s="14"/>
      <c r="BV209" s="14"/>
      <c r="BW209" s="14"/>
      <c r="BX209" s="14"/>
      <c r="BY209" s="14"/>
      <c r="BZ209" s="14"/>
      <c r="CA209" s="14"/>
      <c r="CB209" s="14"/>
      <c r="CC209" s="14"/>
      <c r="CD209" s="14"/>
      <c r="CE209" s="14"/>
      <c r="CF209" s="14"/>
      <c r="CG209" s="91"/>
      <c r="CH209" s="91"/>
      <c r="CI209" s="91"/>
      <c r="CJ209" s="91"/>
      <c r="CK209" s="91"/>
      <c r="CL209" s="91"/>
      <c r="CM209" s="91"/>
      <c r="CN209" s="91"/>
      <c r="CO209" s="91"/>
      <c r="CP209" s="91"/>
      <c r="CQ209" s="91"/>
      <c r="CR209" s="91"/>
      <c r="CS209" s="91"/>
      <c r="CT209" s="91"/>
      <c r="CU209" s="91"/>
      <c r="CV209" s="91"/>
    </row>
    <row r="210" spans="1:100" x14ac:dyDescent="0.2">
      <c r="A210" s="14"/>
      <c r="B210" s="14"/>
      <c r="C210" s="14"/>
      <c r="D210" s="14"/>
      <c r="E210" s="14"/>
      <c r="F210" s="14"/>
      <c r="G210" s="14"/>
      <c r="H210" s="14"/>
      <c r="I210" s="14"/>
      <c r="J210" s="14"/>
      <c r="K210" s="86"/>
      <c r="L210" s="14"/>
      <c r="M210" s="14"/>
      <c r="N210" s="14"/>
      <c r="O210" s="14"/>
      <c r="P210" s="14"/>
      <c r="Q210" s="14"/>
      <c r="R210" s="14"/>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14"/>
      <c r="AR210" s="14"/>
      <c r="AS210" s="14"/>
      <c r="AT210" s="14"/>
      <c r="AU210" s="14"/>
      <c r="AV210" s="14"/>
      <c r="AW210" s="14"/>
      <c r="AX210" s="14"/>
      <c r="AY210" s="14"/>
      <c r="AZ210" s="14"/>
      <c r="BA210" s="14"/>
      <c r="BB210" s="14"/>
      <c r="BC210" s="14"/>
      <c r="BD210" s="14"/>
      <c r="BE210" s="14"/>
      <c r="BF210" s="14"/>
      <c r="BG210" s="14"/>
      <c r="BH210" s="14"/>
      <c r="BI210" s="14"/>
      <c r="BJ210" s="14"/>
      <c r="BK210" s="14"/>
      <c r="BL210" s="14"/>
      <c r="BM210" s="14"/>
      <c r="BN210" s="14"/>
      <c r="BO210" s="14"/>
      <c r="BP210" s="14"/>
      <c r="BQ210" s="14"/>
      <c r="BR210" s="14"/>
      <c r="BS210" s="14"/>
      <c r="BT210" s="14"/>
      <c r="BU210" s="14"/>
      <c r="BV210" s="14"/>
      <c r="BW210" s="14"/>
      <c r="BX210" s="14"/>
      <c r="BY210" s="14"/>
      <c r="BZ210" s="14"/>
      <c r="CA210" s="14"/>
      <c r="CB210" s="14"/>
      <c r="CC210" s="14"/>
      <c r="CD210" s="14"/>
      <c r="CE210" s="14"/>
      <c r="CF210" s="14"/>
      <c r="CG210" s="91"/>
      <c r="CH210" s="91"/>
      <c r="CI210" s="91"/>
      <c r="CJ210" s="91"/>
      <c r="CK210" s="91"/>
      <c r="CL210" s="91"/>
      <c r="CM210" s="91"/>
      <c r="CN210" s="91"/>
      <c r="CO210" s="91"/>
      <c r="CP210" s="91"/>
      <c r="CQ210" s="91"/>
      <c r="CR210" s="91"/>
      <c r="CS210" s="91"/>
      <c r="CT210" s="91"/>
      <c r="CU210" s="91"/>
      <c r="CV210" s="91"/>
    </row>
    <row r="211" spans="1:100" x14ac:dyDescent="0.2">
      <c r="A211" s="14"/>
      <c r="B211" s="14"/>
      <c r="C211" s="14"/>
      <c r="D211" s="14"/>
      <c r="E211" s="14"/>
      <c r="F211" s="14"/>
      <c r="G211" s="14"/>
      <c r="H211" s="14"/>
      <c r="I211" s="14"/>
      <c r="J211" s="14"/>
      <c r="K211" s="86"/>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c r="AS211" s="14"/>
      <c r="AT211" s="14"/>
      <c r="AU211" s="14"/>
      <c r="AV211" s="14"/>
      <c r="AW211" s="14"/>
      <c r="AX211" s="14"/>
      <c r="AY211" s="14"/>
      <c r="AZ211" s="14"/>
      <c r="BA211" s="14"/>
      <c r="BB211" s="14"/>
      <c r="BC211" s="14"/>
      <c r="BD211" s="14"/>
      <c r="BE211" s="14"/>
      <c r="BF211" s="14"/>
      <c r="BG211" s="14"/>
      <c r="BH211" s="14"/>
      <c r="BI211" s="14"/>
      <c r="BJ211" s="14"/>
      <c r="BK211" s="14"/>
      <c r="BL211" s="14"/>
      <c r="BM211" s="14"/>
      <c r="BN211" s="14"/>
      <c r="BO211" s="14"/>
      <c r="BP211" s="14"/>
      <c r="BQ211" s="14"/>
      <c r="BR211" s="14"/>
      <c r="BS211" s="14"/>
      <c r="BT211" s="14"/>
      <c r="BU211" s="14"/>
      <c r="BV211" s="14"/>
      <c r="BW211" s="14"/>
      <c r="BX211" s="14"/>
      <c r="BY211" s="14"/>
      <c r="BZ211" s="14"/>
      <c r="CA211" s="14"/>
      <c r="CB211" s="14"/>
      <c r="CC211" s="14"/>
      <c r="CD211" s="14"/>
      <c r="CE211" s="14"/>
      <c r="CF211" s="14"/>
      <c r="CG211" s="91"/>
      <c r="CH211" s="91"/>
      <c r="CI211" s="91"/>
      <c r="CJ211" s="91"/>
      <c r="CK211" s="91"/>
      <c r="CL211" s="91"/>
      <c r="CM211" s="91"/>
      <c r="CN211" s="91"/>
      <c r="CO211" s="91"/>
      <c r="CP211" s="91"/>
      <c r="CQ211" s="91"/>
      <c r="CR211" s="91"/>
      <c r="CS211" s="91"/>
      <c r="CT211" s="91"/>
      <c r="CU211" s="91"/>
      <c r="CV211" s="91"/>
    </row>
    <row r="212" spans="1:100" x14ac:dyDescent="0.2">
      <c r="A212" s="14"/>
      <c r="B212" s="14"/>
      <c r="C212" s="14"/>
      <c r="D212" s="14"/>
      <c r="E212" s="14"/>
      <c r="F212" s="14"/>
      <c r="G212" s="14"/>
      <c r="H212" s="14"/>
      <c r="I212" s="14"/>
      <c r="J212" s="14"/>
      <c r="K212" s="86"/>
      <c r="L212" s="14"/>
      <c r="M212" s="14"/>
      <c r="N212" s="14"/>
      <c r="O212" s="14"/>
      <c r="P212" s="14"/>
      <c r="Q212" s="14"/>
      <c r="R212" s="14"/>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14"/>
      <c r="AR212" s="14"/>
      <c r="AS212" s="14"/>
      <c r="AT212" s="14"/>
      <c r="AU212" s="14"/>
      <c r="AV212" s="14"/>
      <c r="AW212" s="14"/>
      <c r="AX212" s="14"/>
      <c r="AY212" s="14"/>
      <c r="AZ212" s="14"/>
      <c r="BA212" s="14"/>
      <c r="BB212" s="14"/>
      <c r="BC212" s="14"/>
      <c r="BD212" s="14"/>
      <c r="BE212" s="14"/>
      <c r="BF212" s="14"/>
      <c r="BG212" s="14"/>
      <c r="BH212" s="14"/>
      <c r="BI212" s="14"/>
      <c r="BJ212" s="14"/>
      <c r="BK212" s="14"/>
      <c r="BL212" s="14"/>
      <c r="BM212" s="14"/>
      <c r="BN212" s="14"/>
      <c r="BO212" s="14"/>
      <c r="BP212" s="14"/>
      <c r="BQ212" s="14"/>
      <c r="BR212" s="14"/>
      <c r="BS212" s="14"/>
      <c r="BT212" s="14"/>
      <c r="BU212" s="14"/>
      <c r="BV212" s="14"/>
      <c r="BW212" s="14"/>
      <c r="BX212" s="14"/>
      <c r="BY212" s="14"/>
      <c r="BZ212" s="14"/>
      <c r="CA212" s="14"/>
      <c r="CB212" s="14"/>
      <c r="CC212" s="14"/>
      <c r="CD212" s="14"/>
      <c r="CE212" s="14"/>
      <c r="CF212" s="14"/>
      <c r="CG212" s="91"/>
      <c r="CH212" s="91"/>
      <c r="CI212" s="91"/>
      <c r="CJ212" s="91"/>
      <c r="CK212" s="91"/>
      <c r="CL212" s="91"/>
      <c r="CM212" s="91"/>
      <c r="CN212" s="91"/>
      <c r="CO212" s="91"/>
      <c r="CP212" s="91"/>
      <c r="CQ212" s="91"/>
      <c r="CR212" s="91"/>
      <c r="CS212" s="91"/>
      <c r="CT212" s="91"/>
      <c r="CU212" s="91"/>
      <c r="CV212" s="91"/>
    </row>
    <row r="213" spans="1:100" x14ac:dyDescent="0.2">
      <c r="A213" s="14"/>
      <c r="B213" s="14"/>
      <c r="C213" s="14"/>
      <c r="D213" s="14"/>
      <c r="E213" s="14"/>
      <c r="F213" s="14"/>
      <c r="G213" s="14"/>
      <c r="H213" s="14"/>
      <c r="I213" s="14"/>
      <c r="J213" s="14"/>
      <c r="K213" s="86"/>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4"/>
      <c r="BG213" s="14"/>
      <c r="BH213" s="14"/>
      <c r="BI213" s="14"/>
      <c r="BJ213" s="14"/>
      <c r="BK213" s="14"/>
      <c r="BL213" s="14"/>
      <c r="BM213" s="14"/>
      <c r="BN213" s="14"/>
      <c r="BO213" s="14"/>
      <c r="BP213" s="14"/>
      <c r="BQ213" s="14"/>
      <c r="BR213" s="14"/>
      <c r="BS213" s="14"/>
      <c r="BT213" s="14"/>
      <c r="BU213" s="14"/>
      <c r="BV213" s="14"/>
      <c r="BW213" s="14"/>
      <c r="BX213" s="14"/>
      <c r="BY213" s="14"/>
      <c r="BZ213" s="14"/>
      <c r="CA213" s="14"/>
      <c r="CB213" s="14"/>
      <c r="CC213" s="14"/>
      <c r="CD213" s="14"/>
      <c r="CE213" s="14"/>
      <c r="CF213" s="14"/>
      <c r="CG213" s="91"/>
      <c r="CH213" s="91"/>
      <c r="CI213" s="91"/>
      <c r="CJ213" s="91"/>
      <c r="CK213" s="91"/>
      <c r="CL213" s="91"/>
      <c r="CM213" s="91"/>
      <c r="CN213" s="91"/>
      <c r="CO213" s="91"/>
      <c r="CP213" s="91"/>
      <c r="CQ213" s="91"/>
      <c r="CR213" s="91"/>
      <c r="CS213" s="91"/>
      <c r="CT213" s="91"/>
      <c r="CU213" s="91"/>
      <c r="CV213" s="91"/>
    </row>
    <row r="214" spans="1:100" x14ac:dyDescent="0.2">
      <c r="A214" s="14"/>
      <c r="B214" s="14"/>
      <c r="C214" s="14"/>
      <c r="D214" s="14"/>
      <c r="E214" s="14"/>
      <c r="F214" s="14"/>
      <c r="G214" s="14"/>
      <c r="H214" s="14"/>
      <c r="I214" s="14"/>
      <c r="J214" s="14"/>
      <c r="K214" s="86"/>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14"/>
      <c r="AR214" s="14"/>
      <c r="AS214" s="14"/>
      <c r="AT214" s="14"/>
      <c r="AU214" s="14"/>
      <c r="AV214" s="14"/>
      <c r="AW214" s="14"/>
      <c r="AX214" s="14"/>
      <c r="AY214" s="14"/>
      <c r="AZ214" s="14"/>
      <c r="BA214" s="14"/>
      <c r="BB214" s="14"/>
      <c r="BC214" s="14"/>
      <c r="BD214" s="14"/>
      <c r="BE214" s="14"/>
      <c r="BF214" s="14"/>
      <c r="BG214" s="14"/>
      <c r="BH214" s="14"/>
      <c r="BI214" s="14"/>
      <c r="BJ214" s="14"/>
      <c r="BK214" s="14"/>
      <c r="BL214" s="14"/>
      <c r="BM214" s="14"/>
      <c r="BN214" s="14"/>
      <c r="BO214" s="14"/>
      <c r="BP214" s="14"/>
      <c r="BQ214" s="14"/>
      <c r="BR214" s="14"/>
      <c r="BS214" s="14"/>
      <c r="BT214" s="14"/>
      <c r="BU214" s="14"/>
      <c r="BV214" s="14"/>
      <c r="BW214" s="14"/>
      <c r="BX214" s="14"/>
      <c r="BY214" s="14"/>
      <c r="BZ214" s="14"/>
      <c r="CA214" s="14"/>
      <c r="CB214" s="14"/>
      <c r="CC214" s="14"/>
      <c r="CD214" s="14"/>
      <c r="CE214" s="14"/>
      <c r="CF214" s="14"/>
      <c r="CG214" s="91"/>
      <c r="CH214" s="91"/>
      <c r="CI214" s="91"/>
      <c r="CJ214" s="91"/>
      <c r="CK214" s="91"/>
      <c r="CL214" s="91"/>
      <c r="CM214" s="91"/>
      <c r="CN214" s="91"/>
      <c r="CO214" s="91"/>
      <c r="CP214" s="91"/>
      <c r="CQ214" s="91"/>
      <c r="CR214" s="91"/>
      <c r="CS214" s="91"/>
      <c r="CT214" s="91"/>
      <c r="CU214" s="91"/>
      <c r="CV214" s="91"/>
    </row>
    <row r="215" spans="1:100" x14ac:dyDescent="0.2">
      <c r="A215" s="14"/>
      <c r="B215" s="14"/>
      <c r="C215" s="14"/>
      <c r="D215" s="14"/>
      <c r="E215" s="14"/>
      <c r="F215" s="14"/>
      <c r="G215" s="14"/>
      <c r="H215" s="14"/>
      <c r="I215" s="14"/>
      <c r="J215" s="14"/>
      <c r="K215" s="86"/>
      <c r="L215" s="14"/>
      <c r="M215" s="14"/>
      <c r="N215" s="14"/>
      <c r="O215" s="14"/>
      <c r="P215" s="14"/>
      <c r="Q215" s="14"/>
      <c r="R215" s="14"/>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c r="AS215" s="14"/>
      <c r="AT215" s="14"/>
      <c r="AU215" s="14"/>
      <c r="AV215" s="14"/>
      <c r="AW215" s="14"/>
      <c r="AX215" s="14"/>
      <c r="AY215" s="14"/>
      <c r="AZ215" s="14"/>
      <c r="BA215" s="14"/>
      <c r="BB215" s="14"/>
      <c r="BC215" s="14"/>
      <c r="BD215" s="14"/>
      <c r="BE215" s="14"/>
      <c r="BF215" s="14"/>
      <c r="BG215" s="14"/>
      <c r="BH215" s="14"/>
      <c r="BI215" s="14"/>
      <c r="BJ215" s="14"/>
      <c r="BK215" s="14"/>
      <c r="BL215" s="14"/>
      <c r="BM215" s="14"/>
      <c r="BN215" s="14"/>
      <c r="BO215" s="14"/>
      <c r="BP215" s="14"/>
      <c r="BQ215" s="14"/>
      <c r="BR215" s="14"/>
      <c r="BS215" s="14"/>
      <c r="BT215" s="14"/>
      <c r="BU215" s="14"/>
      <c r="BV215" s="14"/>
      <c r="BW215" s="14"/>
      <c r="BX215" s="14"/>
      <c r="BY215" s="14"/>
      <c r="BZ215" s="14"/>
      <c r="CA215" s="14"/>
      <c r="CB215" s="14"/>
      <c r="CC215" s="14"/>
      <c r="CD215" s="14"/>
      <c r="CE215" s="14"/>
      <c r="CF215" s="14"/>
      <c r="CG215" s="91"/>
      <c r="CH215" s="91"/>
      <c r="CI215" s="91"/>
      <c r="CJ215" s="91"/>
      <c r="CK215" s="91"/>
      <c r="CL215" s="91"/>
      <c r="CM215" s="91"/>
      <c r="CN215" s="91"/>
      <c r="CO215" s="91"/>
      <c r="CP215" s="91"/>
      <c r="CQ215" s="91"/>
      <c r="CR215" s="91"/>
      <c r="CS215" s="91"/>
      <c r="CT215" s="91"/>
      <c r="CU215" s="91"/>
      <c r="CV215" s="91"/>
    </row>
    <row r="216" spans="1:100" x14ac:dyDescent="0.2">
      <c r="A216" s="14"/>
      <c r="B216" s="14"/>
      <c r="C216" s="14"/>
      <c r="D216" s="14"/>
      <c r="E216" s="14"/>
      <c r="F216" s="14"/>
      <c r="G216" s="14"/>
      <c r="H216" s="14"/>
      <c r="I216" s="14"/>
      <c r="J216" s="14"/>
      <c r="K216" s="86"/>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c r="BK216" s="14"/>
      <c r="BL216" s="14"/>
      <c r="BM216" s="14"/>
      <c r="BN216" s="14"/>
      <c r="BO216" s="14"/>
      <c r="BP216" s="14"/>
      <c r="BQ216" s="14"/>
      <c r="BR216" s="14"/>
      <c r="BS216" s="14"/>
      <c r="BT216" s="14"/>
      <c r="BU216" s="14"/>
      <c r="BV216" s="14"/>
      <c r="BW216" s="14"/>
      <c r="BX216" s="14"/>
      <c r="BY216" s="14"/>
      <c r="BZ216" s="14"/>
      <c r="CA216" s="14"/>
      <c r="CB216" s="14"/>
      <c r="CC216" s="14"/>
      <c r="CD216" s="14"/>
      <c r="CE216" s="14"/>
      <c r="CF216" s="14"/>
      <c r="CG216" s="91"/>
      <c r="CH216" s="91"/>
      <c r="CI216" s="91"/>
      <c r="CJ216" s="91"/>
      <c r="CK216" s="91"/>
      <c r="CL216" s="91"/>
      <c r="CM216" s="91"/>
      <c r="CN216" s="91"/>
      <c r="CO216" s="91"/>
      <c r="CP216" s="91"/>
      <c r="CQ216" s="91"/>
      <c r="CR216" s="91"/>
      <c r="CS216" s="91"/>
      <c r="CT216" s="91"/>
      <c r="CU216" s="91"/>
      <c r="CV216" s="91"/>
    </row>
    <row r="217" spans="1:100" x14ac:dyDescent="0.2">
      <c r="A217" s="14"/>
      <c r="B217" s="14"/>
      <c r="C217" s="14"/>
      <c r="D217" s="14"/>
      <c r="E217" s="14"/>
      <c r="F217" s="14"/>
      <c r="G217" s="14"/>
      <c r="H217" s="14"/>
      <c r="I217" s="14"/>
      <c r="J217" s="14"/>
      <c r="K217" s="86"/>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c r="AS217" s="14"/>
      <c r="AT217" s="14"/>
      <c r="AU217" s="14"/>
      <c r="AV217" s="14"/>
      <c r="AW217" s="14"/>
      <c r="AX217" s="14"/>
      <c r="AY217" s="14"/>
      <c r="AZ217" s="14"/>
      <c r="BA217" s="14"/>
      <c r="BB217" s="14"/>
      <c r="BC217" s="14"/>
      <c r="BD217" s="14"/>
      <c r="BE217" s="14"/>
      <c r="BF217" s="14"/>
      <c r="BG217" s="14"/>
      <c r="BH217" s="14"/>
      <c r="BI217" s="14"/>
      <c r="BJ217" s="14"/>
      <c r="BK217" s="14"/>
      <c r="BL217" s="14"/>
      <c r="BM217" s="14"/>
      <c r="BN217" s="14"/>
      <c r="BO217" s="14"/>
      <c r="BP217" s="14"/>
      <c r="BQ217" s="14"/>
      <c r="BR217" s="14"/>
      <c r="BS217" s="14"/>
      <c r="BT217" s="14"/>
      <c r="BU217" s="14"/>
      <c r="BV217" s="14"/>
      <c r="BW217" s="14"/>
      <c r="BX217" s="14"/>
      <c r="BY217" s="14"/>
      <c r="BZ217" s="14"/>
      <c r="CA217" s="14"/>
      <c r="CB217" s="14"/>
      <c r="CC217" s="14"/>
      <c r="CD217" s="14"/>
      <c r="CE217" s="14"/>
      <c r="CF217" s="14"/>
      <c r="CG217" s="91"/>
      <c r="CH217" s="91"/>
      <c r="CI217" s="91"/>
      <c r="CJ217" s="91"/>
      <c r="CK217" s="91"/>
      <c r="CL217" s="91"/>
      <c r="CM217" s="91"/>
      <c r="CN217" s="91"/>
      <c r="CO217" s="91"/>
      <c r="CP217" s="91"/>
      <c r="CQ217" s="91"/>
      <c r="CR217" s="91"/>
      <c r="CS217" s="91"/>
      <c r="CT217" s="91"/>
      <c r="CU217" s="91"/>
      <c r="CV217" s="91"/>
    </row>
    <row r="218" spans="1:100" x14ac:dyDescent="0.2">
      <c r="A218" s="14"/>
      <c r="B218" s="14"/>
      <c r="C218" s="14"/>
      <c r="D218" s="14"/>
      <c r="E218" s="14"/>
      <c r="F218" s="14"/>
      <c r="G218" s="14"/>
      <c r="H218" s="14"/>
      <c r="I218" s="14"/>
      <c r="J218" s="14"/>
      <c r="K218" s="86"/>
      <c r="L218" s="14"/>
      <c r="M218" s="14"/>
      <c r="N218" s="14"/>
      <c r="O218" s="14"/>
      <c r="P218" s="14"/>
      <c r="Q218" s="14"/>
      <c r="R218" s="14"/>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14"/>
      <c r="AR218" s="14"/>
      <c r="AS218" s="14"/>
      <c r="AT218" s="14"/>
      <c r="AU218" s="14"/>
      <c r="AV218" s="14"/>
      <c r="AW218" s="14"/>
      <c r="AX218" s="14"/>
      <c r="AY218" s="14"/>
      <c r="AZ218" s="14"/>
      <c r="BA218" s="14"/>
      <c r="BB218" s="14"/>
      <c r="BC218" s="14"/>
      <c r="BD218" s="14"/>
      <c r="BE218" s="14"/>
      <c r="BF218" s="14"/>
      <c r="BG218" s="14"/>
      <c r="BH218" s="14"/>
      <c r="BI218" s="14"/>
      <c r="BJ218" s="14"/>
      <c r="BK218" s="14"/>
      <c r="BL218" s="14"/>
      <c r="BM218" s="14"/>
      <c r="BN218" s="14"/>
      <c r="BO218" s="14"/>
      <c r="BP218" s="14"/>
      <c r="BQ218" s="14"/>
      <c r="BR218" s="14"/>
      <c r="BS218" s="14"/>
      <c r="BT218" s="14"/>
      <c r="BU218" s="14"/>
      <c r="BV218" s="14"/>
      <c r="BW218" s="14"/>
      <c r="BX218" s="14"/>
      <c r="BY218" s="14"/>
      <c r="BZ218" s="14"/>
      <c r="CA218" s="14"/>
      <c r="CB218" s="14"/>
      <c r="CC218" s="14"/>
      <c r="CD218" s="14"/>
      <c r="CE218" s="14"/>
      <c r="CF218" s="14"/>
      <c r="CG218" s="91"/>
      <c r="CH218" s="91"/>
      <c r="CI218" s="91"/>
      <c r="CJ218" s="91"/>
      <c r="CK218" s="91"/>
      <c r="CL218" s="91"/>
      <c r="CM218" s="91"/>
      <c r="CN218" s="91"/>
      <c r="CO218" s="91"/>
      <c r="CP218" s="91"/>
      <c r="CQ218" s="91"/>
      <c r="CR218" s="91"/>
      <c r="CS218" s="91"/>
      <c r="CT218" s="91"/>
      <c r="CU218" s="91"/>
      <c r="CV218" s="91"/>
    </row>
    <row r="219" spans="1:100" x14ac:dyDescent="0.2">
      <c r="A219" s="14"/>
      <c r="B219" s="14"/>
      <c r="C219" s="14"/>
      <c r="D219" s="14"/>
      <c r="E219" s="14"/>
      <c r="F219" s="14"/>
      <c r="G219" s="14"/>
      <c r="H219" s="14"/>
      <c r="I219" s="14"/>
      <c r="J219" s="14"/>
      <c r="K219" s="86"/>
      <c r="L219" s="14"/>
      <c r="M219" s="14"/>
      <c r="N219" s="14"/>
      <c r="O219" s="14"/>
      <c r="P219" s="14"/>
      <c r="Q219" s="14"/>
      <c r="R219" s="14"/>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c r="AS219" s="14"/>
      <c r="AT219" s="14"/>
      <c r="AU219" s="14"/>
      <c r="AV219" s="14"/>
      <c r="AW219" s="14"/>
      <c r="AX219" s="14"/>
      <c r="AY219" s="14"/>
      <c r="AZ219" s="14"/>
      <c r="BA219" s="14"/>
      <c r="BB219" s="14"/>
      <c r="BC219" s="14"/>
      <c r="BD219" s="14"/>
      <c r="BE219" s="14"/>
      <c r="BF219" s="14"/>
      <c r="BG219" s="14"/>
      <c r="BH219" s="14"/>
      <c r="BI219" s="14"/>
      <c r="BJ219" s="14"/>
      <c r="BK219" s="14"/>
      <c r="BL219" s="14"/>
      <c r="BM219" s="14"/>
      <c r="BN219" s="14"/>
      <c r="BO219" s="14"/>
      <c r="BP219" s="14"/>
      <c r="BQ219" s="14"/>
      <c r="BR219" s="14"/>
      <c r="BS219" s="14"/>
      <c r="BT219" s="14"/>
      <c r="BU219" s="14"/>
      <c r="BV219" s="14"/>
      <c r="BW219" s="14"/>
      <c r="BX219" s="14"/>
      <c r="BY219" s="14"/>
      <c r="BZ219" s="14"/>
      <c r="CA219" s="14"/>
      <c r="CB219" s="14"/>
      <c r="CC219" s="14"/>
      <c r="CD219" s="14"/>
      <c r="CE219" s="14"/>
      <c r="CF219" s="14"/>
      <c r="CG219" s="91"/>
      <c r="CH219" s="91"/>
      <c r="CI219" s="91"/>
      <c r="CJ219" s="91"/>
      <c r="CK219" s="91"/>
      <c r="CL219" s="91"/>
      <c r="CM219" s="91"/>
      <c r="CN219" s="91"/>
      <c r="CO219" s="91"/>
      <c r="CP219" s="91"/>
      <c r="CQ219" s="91"/>
      <c r="CR219" s="91"/>
      <c r="CS219" s="91"/>
      <c r="CT219" s="91"/>
      <c r="CU219" s="91"/>
      <c r="CV219" s="91"/>
    </row>
    <row r="220" spans="1:100" x14ac:dyDescent="0.2">
      <c r="A220" s="14"/>
      <c r="B220" s="14"/>
      <c r="C220" s="14"/>
      <c r="D220" s="14"/>
      <c r="E220" s="14"/>
      <c r="F220" s="14"/>
      <c r="G220" s="14"/>
      <c r="H220" s="14"/>
      <c r="I220" s="14"/>
      <c r="J220" s="14"/>
      <c r="K220" s="86"/>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14"/>
      <c r="AR220" s="14"/>
      <c r="AS220" s="14"/>
      <c r="AT220" s="14"/>
      <c r="AU220" s="14"/>
      <c r="AV220" s="14"/>
      <c r="AW220" s="14"/>
      <c r="AX220" s="14"/>
      <c r="AY220" s="14"/>
      <c r="AZ220" s="14"/>
      <c r="BA220" s="14"/>
      <c r="BB220" s="14"/>
      <c r="BC220" s="14"/>
      <c r="BD220" s="14"/>
      <c r="BE220" s="14"/>
      <c r="BF220" s="14"/>
      <c r="BG220" s="14"/>
      <c r="BH220" s="14"/>
      <c r="BI220" s="14"/>
      <c r="BJ220" s="14"/>
      <c r="BK220" s="14"/>
      <c r="BL220" s="14"/>
      <c r="BM220" s="14"/>
      <c r="BN220" s="14"/>
      <c r="BO220" s="14"/>
      <c r="BP220" s="14"/>
      <c r="BQ220" s="14"/>
      <c r="BR220" s="14"/>
      <c r="BS220" s="14"/>
      <c r="BT220" s="14"/>
      <c r="BU220" s="14"/>
      <c r="BV220" s="14"/>
      <c r="BW220" s="14"/>
      <c r="BX220" s="14"/>
      <c r="BY220" s="14"/>
      <c r="BZ220" s="14"/>
      <c r="CA220" s="14"/>
      <c r="CB220" s="14"/>
      <c r="CC220" s="14"/>
      <c r="CD220" s="14"/>
      <c r="CE220" s="14"/>
      <c r="CF220" s="14"/>
      <c r="CG220" s="91"/>
      <c r="CH220" s="91"/>
      <c r="CI220" s="91"/>
      <c r="CJ220" s="91"/>
      <c r="CK220" s="91"/>
      <c r="CL220" s="91"/>
      <c r="CM220" s="91"/>
      <c r="CN220" s="91"/>
      <c r="CO220" s="91"/>
      <c r="CP220" s="91"/>
      <c r="CQ220" s="91"/>
      <c r="CR220" s="91"/>
      <c r="CS220" s="91"/>
      <c r="CT220" s="91"/>
      <c r="CU220" s="91"/>
      <c r="CV220" s="91"/>
    </row>
    <row r="221" spans="1:100" x14ac:dyDescent="0.2">
      <c r="A221" s="14"/>
      <c r="B221" s="14"/>
      <c r="C221" s="14"/>
      <c r="D221" s="14"/>
      <c r="E221" s="14"/>
      <c r="F221" s="14"/>
      <c r="G221" s="14"/>
      <c r="H221" s="14"/>
      <c r="I221" s="14"/>
      <c r="J221" s="14"/>
      <c r="K221" s="86"/>
      <c r="L221" s="14"/>
      <c r="M221" s="14"/>
      <c r="N221" s="14"/>
      <c r="O221" s="14"/>
      <c r="P221" s="14"/>
      <c r="Q221" s="14"/>
      <c r="R221" s="14"/>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c r="AS221" s="14"/>
      <c r="AT221" s="14"/>
      <c r="AU221" s="14"/>
      <c r="AV221" s="14"/>
      <c r="AW221" s="14"/>
      <c r="AX221" s="14"/>
      <c r="AY221" s="14"/>
      <c r="AZ221" s="14"/>
      <c r="BA221" s="14"/>
      <c r="BB221" s="14"/>
      <c r="BC221" s="14"/>
      <c r="BD221" s="14"/>
      <c r="BE221" s="14"/>
      <c r="BF221" s="14"/>
      <c r="BG221" s="14"/>
      <c r="BH221" s="14"/>
      <c r="BI221" s="14"/>
      <c r="BJ221" s="14"/>
      <c r="BK221" s="14"/>
      <c r="BL221" s="14"/>
      <c r="BM221" s="14"/>
      <c r="BN221" s="14"/>
      <c r="BO221" s="14"/>
      <c r="BP221" s="14"/>
      <c r="BQ221" s="14"/>
      <c r="BR221" s="14"/>
      <c r="BS221" s="14"/>
      <c r="BT221" s="14"/>
      <c r="BU221" s="14"/>
      <c r="BV221" s="14"/>
      <c r="BW221" s="14"/>
      <c r="BX221" s="14"/>
      <c r="BY221" s="14"/>
      <c r="BZ221" s="14"/>
      <c r="CA221" s="14"/>
      <c r="CB221" s="14"/>
      <c r="CC221" s="14"/>
      <c r="CD221" s="14"/>
      <c r="CE221" s="14"/>
      <c r="CF221" s="14"/>
      <c r="CG221" s="91"/>
      <c r="CH221" s="91"/>
      <c r="CI221" s="91"/>
      <c r="CJ221" s="91"/>
      <c r="CK221" s="91"/>
      <c r="CL221" s="91"/>
      <c r="CM221" s="91"/>
      <c r="CN221" s="91"/>
      <c r="CO221" s="91"/>
      <c r="CP221" s="91"/>
      <c r="CQ221" s="91"/>
      <c r="CR221" s="91"/>
      <c r="CS221" s="91"/>
      <c r="CT221" s="91"/>
      <c r="CU221" s="91"/>
      <c r="CV221" s="91"/>
    </row>
    <row r="222" spans="1:100" x14ac:dyDescent="0.2">
      <c r="A222" s="14"/>
      <c r="B222" s="14"/>
      <c r="C222" s="14"/>
      <c r="D222" s="14"/>
      <c r="E222" s="14"/>
      <c r="F222" s="14"/>
      <c r="G222" s="14"/>
      <c r="H222" s="14"/>
      <c r="I222" s="14"/>
      <c r="J222" s="14"/>
      <c r="K222" s="86"/>
      <c r="L222" s="14"/>
      <c r="M222" s="14"/>
      <c r="N222" s="14"/>
      <c r="O222" s="14"/>
      <c r="P222" s="14"/>
      <c r="Q222" s="14"/>
      <c r="R222" s="14"/>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14"/>
      <c r="AR222" s="14"/>
      <c r="AS222" s="14"/>
      <c r="AT222" s="14"/>
      <c r="AU222" s="14"/>
      <c r="AV222" s="14"/>
      <c r="AW222" s="14"/>
      <c r="AX222" s="14"/>
      <c r="AY222" s="14"/>
      <c r="AZ222" s="14"/>
      <c r="BA222" s="14"/>
      <c r="BB222" s="14"/>
      <c r="BC222" s="14"/>
      <c r="BD222" s="14"/>
      <c r="BE222" s="14"/>
      <c r="BF222" s="14"/>
      <c r="BG222" s="14"/>
      <c r="BH222" s="14"/>
      <c r="BI222" s="14"/>
      <c r="BJ222" s="14"/>
      <c r="BK222" s="14"/>
      <c r="BL222" s="14"/>
      <c r="BM222" s="14"/>
      <c r="BN222" s="14"/>
      <c r="BO222" s="14"/>
      <c r="BP222" s="14"/>
      <c r="BQ222" s="14"/>
      <c r="BR222" s="14"/>
      <c r="BS222" s="14"/>
      <c r="BT222" s="14"/>
      <c r="BU222" s="14"/>
      <c r="BV222" s="14"/>
      <c r="BW222" s="14"/>
      <c r="BX222" s="14"/>
      <c r="BY222" s="14"/>
      <c r="BZ222" s="14"/>
      <c r="CA222" s="14"/>
      <c r="CB222" s="14"/>
      <c r="CC222" s="14"/>
      <c r="CD222" s="14"/>
      <c r="CE222" s="14"/>
      <c r="CF222" s="14"/>
      <c r="CG222" s="91"/>
      <c r="CH222" s="91"/>
      <c r="CI222" s="91"/>
      <c r="CJ222" s="91"/>
      <c r="CK222" s="91"/>
      <c r="CL222" s="91"/>
      <c r="CM222" s="91"/>
      <c r="CN222" s="91"/>
      <c r="CO222" s="91"/>
      <c r="CP222" s="91"/>
      <c r="CQ222" s="91"/>
      <c r="CR222" s="91"/>
      <c r="CS222" s="91"/>
      <c r="CT222" s="91"/>
      <c r="CU222" s="91"/>
      <c r="CV222" s="91"/>
    </row>
    <row r="223" spans="1:100" x14ac:dyDescent="0.2">
      <c r="A223" s="14"/>
      <c r="B223" s="14"/>
      <c r="C223" s="14"/>
      <c r="D223" s="14"/>
      <c r="E223" s="14"/>
      <c r="F223" s="14"/>
      <c r="G223" s="14"/>
      <c r="H223" s="14"/>
      <c r="I223" s="14"/>
      <c r="J223" s="14"/>
      <c r="K223" s="86"/>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c r="AS223" s="14"/>
      <c r="AT223" s="14"/>
      <c r="AU223" s="14"/>
      <c r="AV223" s="14"/>
      <c r="AW223" s="14"/>
      <c r="AX223" s="14"/>
      <c r="AY223" s="14"/>
      <c r="AZ223" s="14"/>
      <c r="BA223" s="14"/>
      <c r="BB223" s="14"/>
      <c r="BC223" s="14"/>
      <c r="BD223" s="14"/>
      <c r="BE223" s="14"/>
      <c r="BF223" s="14"/>
      <c r="BG223" s="14"/>
      <c r="BH223" s="14"/>
      <c r="BI223" s="14"/>
      <c r="BJ223" s="14"/>
      <c r="BK223" s="14"/>
      <c r="BL223" s="14"/>
      <c r="BM223" s="14"/>
      <c r="BN223" s="14"/>
      <c r="BO223" s="14"/>
      <c r="BP223" s="14"/>
      <c r="BQ223" s="14"/>
      <c r="BR223" s="14"/>
      <c r="BS223" s="14"/>
      <c r="BT223" s="14"/>
      <c r="BU223" s="14"/>
      <c r="BV223" s="14"/>
      <c r="BW223" s="14"/>
      <c r="BX223" s="14"/>
      <c r="BY223" s="14"/>
      <c r="BZ223" s="14"/>
      <c r="CA223" s="14"/>
      <c r="CB223" s="14"/>
      <c r="CC223" s="14"/>
      <c r="CD223" s="14"/>
      <c r="CE223" s="14"/>
      <c r="CF223" s="14"/>
      <c r="CG223" s="91"/>
      <c r="CH223" s="91"/>
      <c r="CI223" s="91"/>
      <c r="CJ223" s="91"/>
      <c r="CK223" s="91"/>
      <c r="CL223" s="91"/>
      <c r="CM223" s="91"/>
      <c r="CN223" s="91"/>
      <c r="CO223" s="91"/>
      <c r="CP223" s="91"/>
      <c r="CQ223" s="91"/>
      <c r="CR223" s="91"/>
      <c r="CS223" s="91"/>
      <c r="CT223" s="91"/>
      <c r="CU223" s="91"/>
      <c r="CV223" s="91"/>
    </row>
    <row r="224" spans="1:100" x14ac:dyDescent="0.2">
      <c r="A224" s="14"/>
      <c r="B224" s="14"/>
      <c r="C224" s="14"/>
      <c r="D224" s="14"/>
      <c r="E224" s="14"/>
      <c r="F224" s="14"/>
      <c r="G224" s="14"/>
      <c r="H224" s="14"/>
      <c r="I224" s="14"/>
      <c r="J224" s="14"/>
      <c r="K224" s="86"/>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c r="BK224" s="14"/>
      <c r="BL224" s="14"/>
      <c r="BM224" s="14"/>
      <c r="BN224" s="14"/>
      <c r="BO224" s="14"/>
      <c r="BP224" s="14"/>
      <c r="BQ224" s="14"/>
      <c r="BR224" s="14"/>
      <c r="BS224" s="14"/>
      <c r="BT224" s="14"/>
      <c r="BU224" s="14"/>
      <c r="BV224" s="14"/>
      <c r="BW224" s="14"/>
      <c r="BX224" s="14"/>
      <c r="BY224" s="14"/>
      <c r="BZ224" s="14"/>
      <c r="CA224" s="14"/>
      <c r="CB224" s="14"/>
      <c r="CC224" s="14"/>
      <c r="CD224" s="14"/>
      <c r="CE224" s="14"/>
      <c r="CF224" s="14"/>
      <c r="CG224" s="91"/>
      <c r="CH224" s="91"/>
      <c r="CI224" s="91"/>
      <c r="CJ224" s="91"/>
      <c r="CK224" s="91"/>
      <c r="CL224" s="91"/>
      <c r="CM224" s="91"/>
      <c r="CN224" s="91"/>
      <c r="CO224" s="91"/>
      <c r="CP224" s="91"/>
      <c r="CQ224" s="91"/>
      <c r="CR224" s="91"/>
      <c r="CS224" s="91"/>
      <c r="CT224" s="91"/>
      <c r="CU224" s="91"/>
      <c r="CV224" s="91"/>
    </row>
    <row r="225" spans="1:100" x14ac:dyDescent="0.2">
      <c r="A225" s="14"/>
      <c r="B225" s="14"/>
      <c r="C225" s="14"/>
      <c r="D225" s="14"/>
      <c r="E225" s="14"/>
      <c r="F225" s="14"/>
      <c r="G225" s="14"/>
      <c r="H225" s="14"/>
      <c r="I225" s="14"/>
      <c r="J225" s="14"/>
      <c r="K225" s="86"/>
      <c r="L225" s="14"/>
      <c r="M225" s="14"/>
      <c r="N225" s="14"/>
      <c r="O225" s="14"/>
      <c r="P225" s="14"/>
      <c r="Q225" s="14"/>
      <c r="R225" s="14"/>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c r="AS225" s="14"/>
      <c r="AT225" s="14"/>
      <c r="AU225" s="14"/>
      <c r="AV225" s="14"/>
      <c r="AW225" s="14"/>
      <c r="AX225" s="14"/>
      <c r="AY225" s="14"/>
      <c r="AZ225" s="14"/>
      <c r="BA225" s="14"/>
      <c r="BB225" s="14"/>
      <c r="BC225" s="14"/>
      <c r="BD225" s="14"/>
      <c r="BE225" s="14"/>
      <c r="BF225" s="14"/>
      <c r="BG225" s="14"/>
      <c r="BH225" s="14"/>
      <c r="BI225" s="14"/>
      <c r="BJ225" s="14"/>
      <c r="BK225" s="14"/>
      <c r="BL225" s="14"/>
      <c r="BM225" s="14"/>
      <c r="BN225" s="14"/>
      <c r="BO225" s="14"/>
      <c r="BP225" s="14"/>
      <c r="BQ225" s="14"/>
      <c r="BR225" s="14"/>
      <c r="BS225" s="14"/>
      <c r="BT225" s="14"/>
      <c r="BU225" s="14"/>
      <c r="BV225" s="14"/>
      <c r="BW225" s="14"/>
      <c r="BX225" s="14"/>
      <c r="BY225" s="14"/>
      <c r="BZ225" s="14"/>
      <c r="CA225" s="14"/>
      <c r="CB225" s="14"/>
      <c r="CC225" s="14"/>
      <c r="CD225" s="14"/>
      <c r="CE225" s="14"/>
      <c r="CF225" s="14"/>
      <c r="CG225" s="91"/>
      <c r="CH225" s="91"/>
      <c r="CI225" s="91"/>
      <c r="CJ225" s="91"/>
      <c r="CK225" s="91"/>
      <c r="CL225" s="91"/>
      <c r="CM225" s="91"/>
      <c r="CN225" s="91"/>
      <c r="CO225" s="91"/>
      <c r="CP225" s="91"/>
      <c r="CQ225" s="91"/>
      <c r="CR225" s="91"/>
      <c r="CS225" s="91"/>
      <c r="CT225" s="91"/>
      <c r="CU225" s="91"/>
      <c r="CV225" s="91"/>
    </row>
    <row r="226" spans="1:100" x14ac:dyDescent="0.2">
      <c r="A226" s="14"/>
      <c r="B226" s="14"/>
      <c r="C226" s="14"/>
      <c r="D226" s="14"/>
      <c r="E226" s="14"/>
      <c r="F226" s="14"/>
      <c r="G226" s="14"/>
      <c r="H226" s="14"/>
      <c r="I226" s="14"/>
      <c r="J226" s="14"/>
      <c r="K226" s="86"/>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14"/>
      <c r="AR226" s="14"/>
      <c r="AS226" s="14"/>
      <c r="AT226" s="14"/>
      <c r="AU226" s="14"/>
      <c r="AV226" s="14"/>
      <c r="AW226" s="14"/>
      <c r="AX226" s="14"/>
      <c r="AY226" s="14"/>
      <c r="AZ226" s="14"/>
      <c r="BA226" s="14"/>
      <c r="BB226" s="14"/>
      <c r="BC226" s="14"/>
      <c r="BD226" s="14"/>
      <c r="BE226" s="14"/>
      <c r="BF226" s="14"/>
      <c r="BG226" s="14"/>
      <c r="BH226" s="14"/>
      <c r="BI226" s="14"/>
      <c r="BJ226" s="14"/>
      <c r="BK226" s="14"/>
      <c r="BL226" s="14"/>
      <c r="BM226" s="14"/>
      <c r="BN226" s="14"/>
      <c r="BO226" s="14"/>
      <c r="BP226" s="14"/>
      <c r="BQ226" s="14"/>
      <c r="BR226" s="14"/>
      <c r="BS226" s="14"/>
      <c r="BT226" s="14"/>
      <c r="BU226" s="14"/>
      <c r="BV226" s="14"/>
      <c r="BW226" s="14"/>
      <c r="BX226" s="14"/>
      <c r="BY226" s="14"/>
      <c r="BZ226" s="14"/>
      <c r="CA226" s="14"/>
      <c r="CB226" s="14"/>
      <c r="CC226" s="14"/>
      <c r="CD226" s="14"/>
      <c r="CE226" s="14"/>
      <c r="CF226" s="14"/>
      <c r="CG226" s="91"/>
      <c r="CH226" s="91"/>
      <c r="CI226" s="91"/>
      <c r="CJ226" s="91"/>
      <c r="CK226" s="91"/>
      <c r="CL226" s="91"/>
      <c r="CM226" s="91"/>
      <c r="CN226" s="91"/>
      <c r="CO226" s="91"/>
      <c r="CP226" s="91"/>
      <c r="CQ226" s="91"/>
      <c r="CR226" s="91"/>
      <c r="CS226" s="91"/>
      <c r="CT226" s="91"/>
      <c r="CU226" s="91"/>
      <c r="CV226" s="91"/>
    </row>
    <row r="227" spans="1:100" x14ac:dyDescent="0.2">
      <c r="A227" s="14"/>
      <c r="B227" s="14"/>
      <c r="C227" s="14"/>
      <c r="D227" s="14"/>
      <c r="E227" s="14"/>
      <c r="F227" s="14"/>
      <c r="G227" s="14"/>
      <c r="H227" s="14"/>
      <c r="I227" s="14"/>
      <c r="J227" s="14"/>
      <c r="K227" s="86"/>
      <c r="L227" s="14"/>
      <c r="M227" s="14"/>
      <c r="N227" s="14"/>
      <c r="O227" s="14"/>
      <c r="P227" s="14"/>
      <c r="Q227" s="14"/>
      <c r="R227" s="14"/>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c r="AS227" s="14"/>
      <c r="AT227" s="14"/>
      <c r="AU227" s="14"/>
      <c r="AV227" s="14"/>
      <c r="AW227" s="14"/>
      <c r="AX227" s="14"/>
      <c r="AY227" s="14"/>
      <c r="AZ227" s="14"/>
      <c r="BA227" s="14"/>
      <c r="BB227" s="14"/>
      <c r="BC227" s="14"/>
      <c r="BD227" s="14"/>
      <c r="BE227" s="14"/>
      <c r="BF227" s="14"/>
      <c r="BG227" s="14"/>
      <c r="BH227" s="14"/>
      <c r="BI227" s="14"/>
      <c r="BJ227" s="14"/>
      <c r="BK227" s="14"/>
      <c r="BL227" s="14"/>
      <c r="BM227" s="14"/>
      <c r="BN227" s="14"/>
      <c r="BO227" s="14"/>
      <c r="BP227" s="14"/>
      <c r="BQ227" s="14"/>
      <c r="BR227" s="14"/>
      <c r="BS227" s="14"/>
      <c r="BT227" s="14"/>
      <c r="BU227" s="14"/>
      <c r="BV227" s="14"/>
      <c r="BW227" s="14"/>
      <c r="BX227" s="14"/>
      <c r="BY227" s="14"/>
      <c r="BZ227" s="14"/>
      <c r="CA227" s="14"/>
      <c r="CB227" s="14"/>
      <c r="CC227" s="14"/>
      <c r="CD227" s="14"/>
      <c r="CE227" s="14"/>
      <c r="CF227" s="14"/>
      <c r="CG227" s="91"/>
      <c r="CH227" s="91"/>
      <c r="CI227" s="91"/>
      <c r="CJ227" s="91"/>
      <c r="CK227" s="91"/>
      <c r="CL227" s="91"/>
      <c r="CM227" s="91"/>
      <c r="CN227" s="91"/>
      <c r="CO227" s="91"/>
      <c r="CP227" s="91"/>
      <c r="CQ227" s="91"/>
      <c r="CR227" s="91"/>
      <c r="CS227" s="91"/>
      <c r="CT227" s="91"/>
      <c r="CU227" s="91"/>
      <c r="CV227" s="91"/>
    </row>
    <row r="228" spans="1:100" x14ac:dyDescent="0.2">
      <c r="A228" s="14"/>
      <c r="B228" s="14"/>
      <c r="C228" s="14"/>
      <c r="D228" s="14"/>
      <c r="E228" s="14"/>
      <c r="F228" s="14"/>
      <c r="G228" s="14"/>
      <c r="H228" s="14"/>
      <c r="I228" s="14"/>
      <c r="J228" s="14"/>
      <c r="K228" s="86"/>
      <c r="L228" s="14"/>
      <c r="M228" s="14"/>
      <c r="N228" s="14"/>
      <c r="O228" s="14"/>
      <c r="P228" s="14"/>
      <c r="Q228" s="14"/>
      <c r="R228" s="14"/>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14"/>
      <c r="AR228" s="14"/>
      <c r="AS228" s="14"/>
      <c r="AT228" s="14"/>
      <c r="AU228" s="14"/>
      <c r="AV228" s="14"/>
      <c r="AW228" s="14"/>
      <c r="AX228" s="14"/>
      <c r="AY228" s="14"/>
      <c r="AZ228" s="14"/>
      <c r="BA228" s="14"/>
      <c r="BB228" s="14"/>
      <c r="BC228" s="14"/>
      <c r="BD228" s="14"/>
      <c r="BE228" s="14"/>
      <c r="BF228" s="14"/>
      <c r="BG228" s="14"/>
      <c r="BH228" s="14"/>
      <c r="BI228" s="14"/>
      <c r="BJ228" s="14"/>
      <c r="BK228" s="14"/>
      <c r="BL228" s="14"/>
      <c r="BM228" s="14"/>
      <c r="BN228" s="14"/>
      <c r="BO228" s="14"/>
      <c r="BP228" s="14"/>
      <c r="BQ228" s="14"/>
      <c r="BR228" s="14"/>
      <c r="BS228" s="14"/>
      <c r="BT228" s="14"/>
      <c r="BU228" s="14"/>
      <c r="BV228" s="14"/>
      <c r="BW228" s="14"/>
      <c r="BX228" s="14"/>
      <c r="BY228" s="14"/>
      <c r="BZ228" s="14"/>
      <c r="CA228" s="14"/>
      <c r="CB228" s="14"/>
      <c r="CC228" s="14"/>
      <c r="CD228" s="14"/>
      <c r="CE228" s="14"/>
      <c r="CF228" s="14"/>
      <c r="CG228" s="91"/>
      <c r="CH228" s="91"/>
      <c r="CI228" s="91"/>
      <c r="CJ228" s="91"/>
      <c r="CK228" s="91"/>
      <c r="CL228" s="91"/>
      <c r="CM228" s="91"/>
      <c r="CN228" s="91"/>
      <c r="CO228" s="91"/>
      <c r="CP228" s="91"/>
      <c r="CQ228" s="91"/>
      <c r="CR228" s="91"/>
      <c r="CS228" s="91"/>
      <c r="CT228" s="91"/>
      <c r="CU228" s="91"/>
      <c r="CV228" s="91"/>
    </row>
    <row r="229" spans="1:100" x14ac:dyDescent="0.2">
      <c r="A229" s="14"/>
      <c r="B229" s="14"/>
      <c r="C229" s="14"/>
      <c r="D229" s="14"/>
      <c r="E229" s="14"/>
      <c r="F229" s="14"/>
      <c r="G229" s="14"/>
      <c r="H229" s="14"/>
      <c r="I229" s="14"/>
      <c r="J229" s="14"/>
      <c r="K229" s="86"/>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c r="AS229" s="14"/>
      <c r="AT229" s="14"/>
      <c r="AU229" s="14"/>
      <c r="AV229" s="14"/>
      <c r="AW229" s="14"/>
      <c r="AX229" s="14"/>
      <c r="AY229" s="14"/>
      <c r="AZ229" s="14"/>
      <c r="BA229" s="14"/>
      <c r="BB229" s="14"/>
      <c r="BC229" s="14"/>
      <c r="BD229" s="14"/>
      <c r="BE229" s="14"/>
      <c r="BF229" s="14"/>
      <c r="BG229" s="14"/>
      <c r="BH229" s="14"/>
      <c r="BI229" s="14"/>
      <c r="BJ229" s="14"/>
      <c r="BK229" s="14"/>
      <c r="BL229" s="14"/>
      <c r="BM229" s="14"/>
      <c r="BN229" s="14"/>
      <c r="BO229" s="14"/>
      <c r="BP229" s="14"/>
      <c r="BQ229" s="14"/>
      <c r="BR229" s="14"/>
      <c r="BS229" s="14"/>
      <c r="BT229" s="14"/>
      <c r="BU229" s="14"/>
      <c r="BV229" s="14"/>
      <c r="BW229" s="14"/>
      <c r="BX229" s="14"/>
      <c r="BY229" s="14"/>
      <c r="BZ229" s="14"/>
      <c r="CA229" s="14"/>
      <c r="CB229" s="14"/>
      <c r="CC229" s="14"/>
      <c r="CD229" s="14"/>
      <c r="CE229" s="14"/>
      <c r="CF229" s="14"/>
      <c r="CG229" s="91"/>
      <c r="CH229" s="91"/>
      <c r="CI229" s="91"/>
      <c r="CJ229" s="91"/>
      <c r="CK229" s="91"/>
      <c r="CL229" s="91"/>
      <c r="CM229" s="91"/>
      <c r="CN229" s="91"/>
      <c r="CO229" s="91"/>
      <c r="CP229" s="91"/>
      <c r="CQ229" s="91"/>
      <c r="CR229" s="91"/>
      <c r="CS229" s="91"/>
      <c r="CT229" s="91"/>
      <c r="CU229" s="91"/>
      <c r="CV229" s="91"/>
    </row>
    <row r="230" spans="1:100" x14ac:dyDescent="0.2">
      <c r="A230" s="14"/>
      <c r="B230" s="14"/>
      <c r="C230" s="14"/>
      <c r="D230" s="14"/>
      <c r="E230" s="14"/>
      <c r="F230" s="14"/>
      <c r="G230" s="14"/>
      <c r="H230" s="14"/>
      <c r="I230" s="14"/>
      <c r="J230" s="14"/>
      <c r="K230" s="86"/>
      <c r="L230" s="14"/>
      <c r="M230" s="14"/>
      <c r="N230" s="14"/>
      <c r="O230" s="14"/>
      <c r="P230" s="14"/>
      <c r="Q230" s="14"/>
      <c r="R230" s="14"/>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14"/>
      <c r="AR230" s="14"/>
      <c r="AS230" s="14"/>
      <c r="AT230" s="14"/>
      <c r="AU230" s="14"/>
      <c r="AV230" s="14"/>
      <c r="AW230" s="14"/>
      <c r="AX230" s="14"/>
      <c r="AY230" s="14"/>
      <c r="AZ230" s="14"/>
      <c r="BA230" s="14"/>
      <c r="BB230" s="14"/>
      <c r="BC230" s="14"/>
      <c r="BD230" s="14"/>
      <c r="BE230" s="14"/>
      <c r="BF230" s="14"/>
      <c r="BG230" s="14"/>
      <c r="BH230" s="14"/>
      <c r="BI230" s="14"/>
      <c r="BJ230" s="14"/>
      <c r="BK230" s="14"/>
      <c r="BL230" s="14"/>
      <c r="BM230" s="14"/>
      <c r="BN230" s="14"/>
      <c r="BO230" s="14"/>
      <c r="BP230" s="14"/>
      <c r="BQ230" s="14"/>
      <c r="BR230" s="14"/>
      <c r="BS230" s="14"/>
      <c r="BT230" s="14"/>
      <c r="BU230" s="14"/>
      <c r="BV230" s="14"/>
      <c r="BW230" s="14"/>
      <c r="BX230" s="14"/>
      <c r="BY230" s="14"/>
      <c r="BZ230" s="14"/>
      <c r="CA230" s="14"/>
      <c r="CB230" s="14"/>
      <c r="CC230" s="14"/>
      <c r="CD230" s="14"/>
      <c r="CE230" s="14"/>
      <c r="CF230" s="14"/>
      <c r="CG230" s="91"/>
      <c r="CH230" s="91"/>
      <c r="CI230" s="91"/>
      <c r="CJ230" s="91"/>
      <c r="CK230" s="91"/>
      <c r="CL230" s="91"/>
      <c r="CM230" s="91"/>
      <c r="CN230" s="91"/>
      <c r="CO230" s="91"/>
      <c r="CP230" s="91"/>
      <c r="CQ230" s="91"/>
      <c r="CR230" s="91"/>
      <c r="CS230" s="91"/>
      <c r="CT230" s="91"/>
      <c r="CU230" s="91"/>
      <c r="CV230" s="91"/>
    </row>
    <row r="231" spans="1:100" x14ac:dyDescent="0.2">
      <c r="A231" s="14"/>
      <c r="B231" s="14"/>
      <c r="C231" s="14"/>
      <c r="D231" s="14"/>
      <c r="E231" s="14"/>
      <c r="F231" s="14"/>
      <c r="G231" s="14"/>
      <c r="H231" s="14"/>
      <c r="I231" s="14"/>
      <c r="J231" s="14"/>
      <c r="K231" s="86"/>
      <c r="L231" s="14"/>
      <c r="M231" s="14"/>
      <c r="N231" s="14"/>
      <c r="O231" s="14"/>
      <c r="P231" s="14"/>
      <c r="Q231" s="14"/>
      <c r="R231" s="14"/>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c r="AS231" s="14"/>
      <c r="AT231" s="14"/>
      <c r="AU231" s="14"/>
      <c r="AV231" s="14"/>
      <c r="AW231" s="14"/>
      <c r="AX231" s="14"/>
      <c r="AY231" s="14"/>
      <c r="AZ231" s="14"/>
      <c r="BA231" s="14"/>
      <c r="BB231" s="14"/>
      <c r="BC231" s="14"/>
      <c r="BD231" s="14"/>
      <c r="BE231" s="14"/>
      <c r="BF231" s="14"/>
      <c r="BG231" s="14"/>
      <c r="BH231" s="14"/>
      <c r="BI231" s="14"/>
      <c r="BJ231" s="14"/>
      <c r="BK231" s="14"/>
      <c r="BL231" s="14"/>
      <c r="BM231" s="14"/>
      <c r="BN231" s="14"/>
      <c r="BO231" s="14"/>
      <c r="BP231" s="14"/>
      <c r="BQ231" s="14"/>
      <c r="BR231" s="14"/>
      <c r="BS231" s="14"/>
      <c r="BT231" s="14"/>
      <c r="BU231" s="14"/>
      <c r="BV231" s="14"/>
      <c r="BW231" s="14"/>
      <c r="BX231" s="14"/>
      <c r="BY231" s="14"/>
      <c r="BZ231" s="14"/>
      <c r="CA231" s="14"/>
      <c r="CB231" s="14"/>
      <c r="CC231" s="14"/>
      <c r="CD231" s="14"/>
      <c r="CE231" s="14"/>
      <c r="CF231" s="14"/>
      <c r="CG231" s="91"/>
      <c r="CH231" s="91"/>
      <c r="CI231" s="91"/>
      <c r="CJ231" s="91"/>
      <c r="CK231" s="91"/>
      <c r="CL231" s="91"/>
      <c r="CM231" s="91"/>
      <c r="CN231" s="91"/>
      <c r="CO231" s="91"/>
      <c r="CP231" s="91"/>
      <c r="CQ231" s="91"/>
      <c r="CR231" s="91"/>
      <c r="CS231" s="91"/>
      <c r="CT231" s="91"/>
      <c r="CU231" s="91"/>
      <c r="CV231" s="91"/>
    </row>
    <row r="232" spans="1:100" x14ac:dyDescent="0.2">
      <c r="A232" s="14"/>
      <c r="B232" s="14"/>
      <c r="C232" s="14"/>
      <c r="D232" s="14"/>
      <c r="E232" s="14"/>
      <c r="F232" s="14"/>
      <c r="G232" s="14"/>
      <c r="H232" s="14"/>
      <c r="I232" s="14"/>
      <c r="J232" s="14"/>
      <c r="K232" s="86"/>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c r="BK232" s="14"/>
      <c r="BL232" s="14"/>
      <c r="BM232" s="14"/>
      <c r="BN232" s="14"/>
      <c r="BO232" s="14"/>
      <c r="BP232" s="14"/>
      <c r="BQ232" s="14"/>
      <c r="BR232" s="14"/>
      <c r="BS232" s="14"/>
      <c r="BT232" s="14"/>
      <c r="BU232" s="14"/>
      <c r="BV232" s="14"/>
      <c r="BW232" s="14"/>
      <c r="BX232" s="14"/>
      <c r="BY232" s="14"/>
      <c r="BZ232" s="14"/>
      <c r="CA232" s="14"/>
      <c r="CB232" s="14"/>
      <c r="CC232" s="14"/>
      <c r="CD232" s="14"/>
      <c r="CE232" s="14"/>
      <c r="CF232" s="14"/>
      <c r="CG232" s="91"/>
      <c r="CH232" s="91"/>
      <c r="CI232" s="91"/>
      <c r="CJ232" s="91"/>
      <c r="CK232" s="91"/>
      <c r="CL232" s="91"/>
      <c r="CM232" s="91"/>
      <c r="CN232" s="91"/>
      <c r="CO232" s="91"/>
      <c r="CP232" s="91"/>
      <c r="CQ232" s="91"/>
      <c r="CR232" s="91"/>
      <c r="CS232" s="91"/>
      <c r="CT232" s="91"/>
      <c r="CU232" s="91"/>
      <c r="CV232" s="91"/>
    </row>
    <row r="233" spans="1:100" x14ac:dyDescent="0.2">
      <c r="A233" s="14"/>
      <c r="B233" s="14"/>
      <c r="C233" s="14"/>
      <c r="D233" s="14"/>
      <c r="E233" s="14"/>
      <c r="F233" s="14"/>
      <c r="G233" s="14"/>
      <c r="H233" s="14"/>
      <c r="I233" s="14"/>
      <c r="J233" s="14"/>
      <c r="K233" s="86"/>
      <c r="L233" s="14"/>
      <c r="M233" s="14"/>
      <c r="N233" s="14"/>
      <c r="O233" s="14"/>
      <c r="P233" s="14"/>
      <c r="Q233" s="14"/>
      <c r="R233" s="14"/>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c r="AS233" s="14"/>
      <c r="AT233" s="14"/>
      <c r="AU233" s="14"/>
      <c r="AV233" s="14"/>
      <c r="AW233" s="14"/>
      <c r="AX233" s="14"/>
      <c r="AY233" s="14"/>
      <c r="AZ233" s="14"/>
      <c r="BA233" s="14"/>
      <c r="BB233" s="14"/>
      <c r="BC233" s="14"/>
      <c r="BD233" s="14"/>
      <c r="BE233" s="14"/>
      <c r="BF233" s="14"/>
      <c r="BG233" s="14"/>
      <c r="BH233" s="14"/>
      <c r="BI233" s="14"/>
      <c r="BJ233" s="14"/>
      <c r="BK233" s="14"/>
      <c r="BL233" s="14"/>
      <c r="BM233" s="14"/>
      <c r="BN233" s="14"/>
      <c r="BO233" s="14"/>
      <c r="BP233" s="14"/>
      <c r="BQ233" s="14"/>
      <c r="BR233" s="14"/>
      <c r="BS233" s="14"/>
      <c r="BT233" s="14"/>
      <c r="BU233" s="14"/>
      <c r="BV233" s="14"/>
      <c r="BW233" s="14"/>
      <c r="BX233" s="14"/>
      <c r="BY233" s="14"/>
      <c r="BZ233" s="14"/>
      <c r="CA233" s="14"/>
      <c r="CB233" s="14"/>
      <c r="CC233" s="14"/>
      <c r="CD233" s="14"/>
      <c r="CE233" s="14"/>
      <c r="CF233" s="14"/>
      <c r="CG233" s="91"/>
      <c r="CH233" s="91"/>
      <c r="CI233" s="91"/>
      <c r="CJ233" s="91"/>
      <c r="CK233" s="91"/>
      <c r="CL233" s="91"/>
      <c r="CM233" s="91"/>
      <c r="CN233" s="91"/>
      <c r="CO233" s="91"/>
      <c r="CP233" s="91"/>
      <c r="CQ233" s="91"/>
      <c r="CR233" s="91"/>
      <c r="CS233" s="91"/>
      <c r="CT233" s="91"/>
      <c r="CU233" s="91"/>
      <c r="CV233" s="91"/>
    </row>
    <row r="234" spans="1:100" x14ac:dyDescent="0.2">
      <c r="A234" s="14"/>
      <c r="B234" s="14"/>
      <c r="C234" s="14"/>
      <c r="D234" s="14"/>
      <c r="E234" s="14"/>
      <c r="F234" s="14"/>
      <c r="G234" s="14"/>
      <c r="H234" s="14"/>
      <c r="I234" s="14"/>
      <c r="J234" s="14"/>
      <c r="K234" s="86"/>
      <c r="L234" s="14"/>
      <c r="M234" s="14"/>
      <c r="N234" s="14"/>
      <c r="O234" s="14"/>
      <c r="P234" s="14"/>
      <c r="Q234" s="14"/>
      <c r="R234" s="14"/>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14"/>
      <c r="AR234" s="14"/>
      <c r="AS234" s="14"/>
      <c r="AT234" s="14"/>
      <c r="AU234" s="14"/>
      <c r="AV234" s="14"/>
      <c r="AW234" s="14"/>
      <c r="AX234" s="14"/>
      <c r="AY234" s="14"/>
      <c r="AZ234" s="14"/>
      <c r="BA234" s="14"/>
      <c r="BB234" s="14"/>
      <c r="BC234" s="14"/>
      <c r="BD234" s="14"/>
      <c r="BE234" s="14"/>
      <c r="BF234" s="14"/>
      <c r="BG234" s="14"/>
      <c r="BH234" s="14"/>
      <c r="BI234" s="14"/>
      <c r="BJ234" s="14"/>
      <c r="BK234" s="14"/>
      <c r="BL234" s="14"/>
      <c r="BM234" s="14"/>
      <c r="BN234" s="14"/>
      <c r="BO234" s="14"/>
      <c r="BP234" s="14"/>
      <c r="BQ234" s="14"/>
      <c r="BR234" s="14"/>
      <c r="BS234" s="14"/>
      <c r="BT234" s="14"/>
      <c r="BU234" s="14"/>
      <c r="BV234" s="14"/>
      <c r="BW234" s="14"/>
      <c r="BX234" s="14"/>
      <c r="BY234" s="14"/>
      <c r="BZ234" s="14"/>
      <c r="CA234" s="14"/>
      <c r="CB234" s="14"/>
      <c r="CC234" s="14"/>
      <c r="CD234" s="14"/>
      <c r="CE234" s="14"/>
      <c r="CF234" s="14"/>
      <c r="CG234" s="91"/>
      <c r="CH234" s="91"/>
      <c r="CI234" s="91"/>
      <c r="CJ234" s="91"/>
      <c r="CK234" s="91"/>
      <c r="CL234" s="91"/>
      <c r="CM234" s="91"/>
      <c r="CN234" s="91"/>
      <c r="CO234" s="91"/>
      <c r="CP234" s="91"/>
      <c r="CQ234" s="91"/>
      <c r="CR234" s="91"/>
      <c r="CS234" s="91"/>
      <c r="CT234" s="91"/>
      <c r="CU234" s="91"/>
      <c r="CV234" s="91"/>
    </row>
    <row r="235" spans="1:100" x14ac:dyDescent="0.2">
      <c r="A235" s="14"/>
      <c r="B235" s="14"/>
      <c r="C235" s="14"/>
      <c r="D235" s="14"/>
      <c r="E235" s="14"/>
      <c r="F235" s="14"/>
      <c r="G235" s="14"/>
      <c r="H235" s="14"/>
      <c r="I235" s="14"/>
      <c r="J235" s="14"/>
      <c r="K235" s="86"/>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c r="AS235" s="14"/>
      <c r="AT235" s="14"/>
      <c r="AU235" s="14"/>
      <c r="AV235" s="14"/>
      <c r="AW235" s="14"/>
      <c r="AX235" s="14"/>
      <c r="AY235" s="14"/>
      <c r="AZ235" s="14"/>
      <c r="BA235" s="14"/>
      <c r="BB235" s="14"/>
      <c r="BC235" s="14"/>
      <c r="BD235" s="14"/>
      <c r="BE235" s="14"/>
      <c r="BF235" s="14"/>
      <c r="BG235" s="14"/>
      <c r="BH235" s="14"/>
      <c r="BI235" s="14"/>
      <c r="BJ235" s="14"/>
      <c r="BK235" s="14"/>
      <c r="BL235" s="14"/>
      <c r="BM235" s="14"/>
      <c r="BN235" s="14"/>
      <c r="BO235" s="14"/>
      <c r="BP235" s="14"/>
      <c r="BQ235" s="14"/>
      <c r="BR235" s="14"/>
      <c r="BS235" s="14"/>
      <c r="BT235" s="14"/>
      <c r="BU235" s="14"/>
      <c r="BV235" s="14"/>
      <c r="BW235" s="14"/>
      <c r="BX235" s="14"/>
      <c r="BY235" s="14"/>
      <c r="BZ235" s="14"/>
      <c r="CA235" s="14"/>
      <c r="CB235" s="14"/>
      <c r="CC235" s="14"/>
      <c r="CD235" s="14"/>
      <c r="CE235" s="14"/>
      <c r="CF235" s="14"/>
      <c r="CG235" s="91"/>
      <c r="CH235" s="91"/>
      <c r="CI235" s="91"/>
      <c r="CJ235" s="91"/>
      <c r="CK235" s="91"/>
      <c r="CL235" s="91"/>
      <c r="CM235" s="91"/>
      <c r="CN235" s="91"/>
      <c r="CO235" s="91"/>
      <c r="CP235" s="91"/>
      <c r="CQ235" s="91"/>
      <c r="CR235" s="91"/>
      <c r="CS235" s="91"/>
      <c r="CT235" s="91"/>
      <c r="CU235" s="91"/>
      <c r="CV235" s="91"/>
    </row>
    <row r="236" spans="1:100" x14ac:dyDescent="0.2">
      <c r="A236" s="14"/>
      <c r="B236" s="14"/>
      <c r="C236" s="14"/>
      <c r="D236" s="14"/>
      <c r="E236" s="14"/>
      <c r="F236" s="14"/>
      <c r="G236" s="14"/>
      <c r="H236" s="14"/>
      <c r="I236" s="14"/>
      <c r="J236" s="14"/>
      <c r="K236" s="86"/>
      <c r="L236" s="14"/>
      <c r="M236" s="14"/>
      <c r="N236" s="14"/>
      <c r="O236" s="14"/>
      <c r="P236" s="14"/>
      <c r="Q236" s="14"/>
      <c r="R236" s="14"/>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14"/>
      <c r="AR236" s="14"/>
      <c r="AS236" s="14"/>
      <c r="AT236" s="14"/>
      <c r="AU236" s="14"/>
      <c r="AV236" s="14"/>
      <c r="AW236" s="14"/>
      <c r="AX236" s="14"/>
      <c r="AY236" s="14"/>
      <c r="AZ236" s="14"/>
      <c r="BA236" s="14"/>
      <c r="BB236" s="14"/>
      <c r="BC236" s="14"/>
      <c r="BD236" s="14"/>
      <c r="BE236" s="14"/>
      <c r="BF236" s="14"/>
      <c r="BG236" s="14"/>
      <c r="BH236" s="14"/>
      <c r="BI236" s="14"/>
      <c r="BJ236" s="14"/>
      <c r="BK236" s="14"/>
      <c r="BL236" s="14"/>
      <c r="BM236" s="14"/>
      <c r="BN236" s="14"/>
      <c r="BO236" s="14"/>
      <c r="BP236" s="14"/>
      <c r="BQ236" s="14"/>
      <c r="BR236" s="14"/>
      <c r="BS236" s="14"/>
      <c r="BT236" s="14"/>
      <c r="BU236" s="14"/>
      <c r="BV236" s="14"/>
      <c r="BW236" s="14"/>
      <c r="BX236" s="14"/>
      <c r="BY236" s="14"/>
      <c r="BZ236" s="14"/>
      <c r="CA236" s="14"/>
      <c r="CB236" s="14"/>
      <c r="CC236" s="14"/>
      <c r="CD236" s="14"/>
      <c r="CE236" s="14"/>
      <c r="CF236" s="14"/>
      <c r="CG236" s="91"/>
      <c r="CH236" s="91"/>
      <c r="CI236" s="91"/>
      <c r="CJ236" s="91"/>
      <c r="CK236" s="91"/>
      <c r="CL236" s="91"/>
      <c r="CM236" s="91"/>
      <c r="CN236" s="91"/>
      <c r="CO236" s="91"/>
      <c r="CP236" s="91"/>
      <c r="CQ236" s="91"/>
      <c r="CR236" s="91"/>
      <c r="CS236" s="91"/>
      <c r="CT236" s="91"/>
      <c r="CU236" s="91"/>
      <c r="CV236" s="91"/>
    </row>
    <row r="237" spans="1:100" x14ac:dyDescent="0.2">
      <c r="A237" s="14"/>
      <c r="B237" s="14"/>
      <c r="C237" s="14"/>
      <c r="D237" s="14"/>
      <c r="E237" s="14"/>
      <c r="F237" s="14"/>
      <c r="G237" s="14"/>
      <c r="H237" s="14"/>
      <c r="I237" s="14"/>
      <c r="J237" s="14"/>
      <c r="K237" s="86"/>
      <c r="L237" s="14"/>
      <c r="M237" s="14"/>
      <c r="N237" s="14"/>
      <c r="O237" s="14"/>
      <c r="P237" s="14"/>
      <c r="Q237" s="14"/>
      <c r="R237" s="14"/>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c r="AS237" s="14"/>
      <c r="AT237" s="14"/>
      <c r="AU237" s="14"/>
      <c r="AV237" s="14"/>
      <c r="AW237" s="14"/>
      <c r="AX237" s="14"/>
      <c r="AY237" s="14"/>
      <c r="AZ237" s="14"/>
      <c r="BA237" s="14"/>
      <c r="BB237" s="14"/>
      <c r="BC237" s="14"/>
      <c r="BD237" s="14"/>
      <c r="BE237" s="14"/>
      <c r="BF237" s="14"/>
      <c r="BG237" s="14"/>
      <c r="BH237" s="14"/>
      <c r="BI237" s="14"/>
      <c r="BJ237" s="14"/>
      <c r="BK237" s="14"/>
      <c r="BL237" s="14"/>
      <c r="BM237" s="14"/>
      <c r="BN237" s="14"/>
      <c r="BO237" s="14"/>
      <c r="BP237" s="14"/>
      <c r="BQ237" s="14"/>
      <c r="BR237" s="14"/>
      <c r="BS237" s="14"/>
      <c r="BT237" s="14"/>
      <c r="BU237" s="14"/>
      <c r="BV237" s="14"/>
      <c r="BW237" s="14"/>
      <c r="BX237" s="14"/>
      <c r="BY237" s="14"/>
      <c r="BZ237" s="14"/>
      <c r="CA237" s="14"/>
      <c r="CB237" s="14"/>
      <c r="CC237" s="14"/>
      <c r="CD237" s="14"/>
      <c r="CE237" s="14"/>
      <c r="CF237" s="14"/>
      <c r="CG237" s="91"/>
      <c r="CH237" s="91"/>
      <c r="CI237" s="91"/>
      <c r="CJ237" s="91"/>
      <c r="CK237" s="91"/>
      <c r="CL237" s="91"/>
      <c r="CM237" s="91"/>
      <c r="CN237" s="91"/>
      <c r="CO237" s="91"/>
      <c r="CP237" s="91"/>
      <c r="CQ237" s="91"/>
      <c r="CR237" s="91"/>
      <c r="CS237" s="91"/>
      <c r="CT237" s="91"/>
      <c r="CU237" s="91"/>
      <c r="CV237" s="91"/>
    </row>
    <row r="238" spans="1:100" x14ac:dyDescent="0.2">
      <c r="A238" s="14"/>
      <c r="B238" s="14"/>
      <c r="C238" s="14"/>
      <c r="D238" s="14"/>
      <c r="E238" s="14"/>
      <c r="F238" s="14"/>
      <c r="G238" s="14"/>
      <c r="H238" s="14"/>
      <c r="I238" s="14"/>
      <c r="J238" s="14"/>
      <c r="K238" s="86"/>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4"/>
      <c r="BT238" s="14"/>
      <c r="BU238" s="14"/>
      <c r="BV238" s="14"/>
      <c r="BW238" s="14"/>
      <c r="BX238" s="14"/>
      <c r="BY238" s="14"/>
      <c r="BZ238" s="14"/>
      <c r="CA238" s="14"/>
      <c r="CB238" s="14"/>
      <c r="CC238" s="14"/>
      <c r="CD238" s="14"/>
      <c r="CE238" s="14"/>
      <c r="CF238" s="14"/>
      <c r="CG238" s="91"/>
      <c r="CH238" s="91"/>
      <c r="CI238" s="91"/>
      <c r="CJ238" s="91"/>
      <c r="CK238" s="91"/>
      <c r="CL238" s="91"/>
      <c r="CM238" s="91"/>
      <c r="CN238" s="91"/>
      <c r="CO238" s="91"/>
      <c r="CP238" s="91"/>
      <c r="CQ238" s="91"/>
      <c r="CR238" s="91"/>
      <c r="CS238" s="91"/>
      <c r="CT238" s="91"/>
      <c r="CU238" s="91"/>
      <c r="CV238" s="91"/>
    </row>
    <row r="239" spans="1:100" x14ac:dyDescent="0.2">
      <c r="A239" s="14"/>
      <c r="B239" s="14"/>
      <c r="C239" s="14"/>
      <c r="D239" s="14"/>
      <c r="E239" s="14"/>
      <c r="F239" s="14"/>
      <c r="G239" s="14"/>
      <c r="H239" s="14"/>
      <c r="I239" s="14"/>
      <c r="J239" s="14"/>
      <c r="K239" s="86"/>
      <c r="L239" s="14"/>
      <c r="M239" s="14"/>
      <c r="N239" s="14"/>
      <c r="O239" s="14"/>
      <c r="P239" s="14"/>
      <c r="Q239" s="14"/>
      <c r="R239" s="14"/>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c r="AS239" s="14"/>
      <c r="AT239" s="14"/>
      <c r="AU239" s="14"/>
      <c r="AV239" s="14"/>
      <c r="AW239" s="14"/>
      <c r="AX239" s="14"/>
      <c r="AY239" s="14"/>
      <c r="AZ239" s="14"/>
      <c r="BA239" s="14"/>
      <c r="BB239" s="14"/>
      <c r="BC239" s="14"/>
      <c r="BD239" s="14"/>
      <c r="BE239" s="14"/>
      <c r="BF239" s="14"/>
      <c r="BG239" s="14"/>
      <c r="BH239" s="14"/>
      <c r="BI239" s="14"/>
      <c r="BJ239" s="14"/>
      <c r="BK239" s="14"/>
      <c r="BL239" s="14"/>
      <c r="BM239" s="14"/>
      <c r="BN239" s="14"/>
      <c r="BO239" s="14"/>
      <c r="BP239" s="14"/>
      <c r="BQ239" s="14"/>
      <c r="BR239" s="14"/>
      <c r="BS239" s="14"/>
      <c r="BT239" s="14"/>
      <c r="BU239" s="14"/>
      <c r="BV239" s="14"/>
      <c r="BW239" s="14"/>
      <c r="BX239" s="14"/>
      <c r="BY239" s="14"/>
      <c r="BZ239" s="14"/>
      <c r="CA239" s="14"/>
      <c r="CB239" s="14"/>
      <c r="CC239" s="14"/>
      <c r="CD239" s="14"/>
      <c r="CE239" s="14"/>
      <c r="CF239" s="14"/>
      <c r="CG239" s="91"/>
      <c r="CH239" s="91"/>
      <c r="CI239" s="91"/>
      <c r="CJ239" s="91"/>
      <c r="CK239" s="91"/>
      <c r="CL239" s="91"/>
      <c r="CM239" s="91"/>
      <c r="CN239" s="91"/>
      <c r="CO239" s="91"/>
      <c r="CP239" s="91"/>
      <c r="CQ239" s="91"/>
      <c r="CR239" s="91"/>
      <c r="CS239" s="91"/>
      <c r="CT239" s="91"/>
      <c r="CU239" s="91"/>
      <c r="CV239" s="91"/>
    </row>
    <row r="240" spans="1:100" x14ac:dyDescent="0.2">
      <c r="A240" s="14"/>
      <c r="B240" s="14"/>
      <c r="C240" s="14"/>
      <c r="D240" s="14"/>
      <c r="E240" s="14"/>
      <c r="F240" s="14"/>
      <c r="G240" s="14"/>
      <c r="H240" s="14"/>
      <c r="I240" s="14"/>
      <c r="J240" s="14"/>
      <c r="K240" s="86"/>
      <c r="L240" s="14"/>
      <c r="M240" s="14"/>
      <c r="N240" s="14"/>
      <c r="O240" s="14"/>
      <c r="P240" s="14"/>
      <c r="Q240" s="14"/>
      <c r="R240" s="14"/>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4"/>
      <c r="BT240" s="14"/>
      <c r="BU240" s="14"/>
      <c r="BV240" s="14"/>
      <c r="BW240" s="14"/>
      <c r="BX240" s="14"/>
      <c r="BY240" s="14"/>
      <c r="BZ240" s="14"/>
      <c r="CA240" s="14"/>
      <c r="CB240" s="14"/>
      <c r="CC240" s="14"/>
      <c r="CD240" s="14"/>
      <c r="CE240" s="14"/>
      <c r="CF240" s="14"/>
      <c r="CG240" s="91"/>
      <c r="CH240" s="91"/>
      <c r="CI240" s="91"/>
      <c r="CJ240" s="91"/>
      <c r="CK240" s="91"/>
      <c r="CL240" s="91"/>
      <c r="CM240" s="91"/>
      <c r="CN240" s="91"/>
      <c r="CO240" s="91"/>
      <c r="CP240" s="91"/>
      <c r="CQ240" s="91"/>
      <c r="CR240" s="91"/>
      <c r="CS240" s="91"/>
      <c r="CT240" s="91"/>
      <c r="CU240" s="91"/>
      <c r="CV240" s="91"/>
    </row>
    <row r="241" spans="1:100" x14ac:dyDescent="0.2">
      <c r="A241" s="14"/>
      <c r="B241" s="14"/>
      <c r="C241" s="14"/>
      <c r="D241" s="14"/>
      <c r="E241" s="14"/>
      <c r="F241" s="14"/>
      <c r="G241" s="14"/>
      <c r="H241" s="14"/>
      <c r="I241" s="14"/>
      <c r="J241" s="14"/>
      <c r="K241" s="86"/>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c r="AS241" s="14"/>
      <c r="AT241" s="14"/>
      <c r="AU241" s="14"/>
      <c r="AV241" s="14"/>
      <c r="AW241" s="14"/>
      <c r="AX241" s="14"/>
      <c r="AY241" s="14"/>
      <c r="AZ241" s="14"/>
      <c r="BA241" s="14"/>
      <c r="BB241" s="14"/>
      <c r="BC241" s="14"/>
      <c r="BD241" s="14"/>
      <c r="BE241" s="14"/>
      <c r="BF241" s="14"/>
      <c r="BG241" s="14"/>
      <c r="BH241" s="14"/>
      <c r="BI241" s="14"/>
      <c r="BJ241" s="14"/>
      <c r="BK241" s="14"/>
      <c r="BL241" s="14"/>
      <c r="BM241" s="14"/>
      <c r="BN241" s="14"/>
      <c r="BO241" s="14"/>
      <c r="BP241" s="14"/>
      <c r="BQ241" s="14"/>
      <c r="BR241" s="14"/>
      <c r="BS241" s="14"/>
      <c r="BT241" s="14"/>
      <c r="BU241" s="14"/>
      <c r="BV241" s="14"/>
      <c r="BW241" s="14"/>
      <c r="BX241" s="14"/>
      <c r="BY241" s="14"/>
      <c r="BZ241" s="14"/>
      <c r="CA241" s="14"/>
      <c r="CB241" s="14"/>
      <c r="CC241" s="14"/>
      <c r="CD241" s="14"/>
      <c r="CE241" s="14"/>
      <c r="CF241" s="14"/>
      <c r="CG241" s="91"/>
      <c r="CH241" s="91"/>
      <c r="CI241" s="91"/>
      <c r="CJ241" s="91"/>
      <c r="CK241" s="91"/>
      <c r="CL241" s="91"/>
      <c r="CM241" s="91"/>
      <c r="CN241" s="91"/>
      <c r="CO241" s="91"/>
      <c r="CP241" s="91"/>
      <c r="CQ241" s="91"/>
      <c r="CR241" s="91"/>
      <c r="CS241" s="91"/>
      <c r="CT241" s="91"/>
      <c r="CU241" s="91"/>
      <c r="CV241" s="91"/>
    </row>
    <row r="242" spans="1:100" x14ac:dyDescent="0.2">
      <c r="A242" s="14"/>
      <c r="B242" s="14"/>
      <c r="C242" s="14"/>
      <c r="D242" s="14"/>
      <c r="E242" s="14"/>
      <c r="F242" s="14"/>
      <c r="G242" s="14"/>
      <c r="H242" s="14"/>
      <c r="I242" s="14"/>
      <c r="J242" s="14"/>
      <c r="K242" s="86"/>
      <c r="L242" s="14"/>
      <c r="M242" s="14"/>
      <c r="N242" s="14"/>
      <c r="O242" s="14"/>
      <c r="P242" s="14"/>
      <c r="Q242" s="14"/>
      <c r="R242" s="14"/>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4"/>
      <c r="BT242" s="14"/>
      <c r="BU242" s="14"/>
      <c r="BV242" s="14"/>
      <c r="BW242" s="14"/>
      <c r="BX242" s="14"/>
      <c r="BY242" s="14"/>
      <c r="BZ242" s="14"/>
      <c r="CA242" s="14"/>
      <c r="CB242" s="14"/>
      <c r="CC242" s="14"/>
      <c r="CD242" s="14"/>
      <c r="CE242" s="14"/>
      <c r="CF242" s="14"/>
      <c r="CG242" s="91"/>
      <c r="CH242" s="91"/>
      <c r="CI242" s="91"/>
      <c r="CJ242" s="91"/>
      <c r="CK242" s="91"/>
      <c r="CL242" s="91"/>
      <c r="CM242" s="91"/>
      <c r="CN242" s="91"/>
      <c r="CO242" s="91"/>
      <c r="CP242" s="91"/>
      <c r="CQ242" s="91"/>
      <c r="CR242" s="91"/>
      <c r="CS242" s="91"/>
      <c r="CT242" s="91"/>
      <c r="CU242" s="91"/>
      <c r="CV242" s="91"/>
    </row>
    <row r="243" spans="1:100" x14ac:dyDescent="0.2">
      <c r="A243" s="14"/>
      <c r="B243" s="14"/>
      <c r="C243" s="14"/>
      <c r="D243" s="14"/>
      <c r="E243" s="14"/>
      <c r="F243" s="14"/>
      <c r="G243" s="14"/>
      <c r="H243" s="14"/>
      <c r="I243" s="14"/>
      <c r="J243" s="14"/>
      <c r="K243" s="86"/>
      <c r="L243" s="14"/>
      <c r="M243" s="14"/>
      <c r="N243" s="14"/>
      <c r="O243" s="14"/>
      <c r="P243" s="14"/>
      <c r="Q243" s="14"/>
      <c r="R243" s="14"/>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4"/>
      <c r="BT243" s="14"/>
      <c r="BU243" s="14"/>
      <c r="BV243" s="14"/>
      <c r="BW243" s="14"/>
      <c r="BX243" s="14"/>
      <c r="BY243" s="14"/>
      <c r="BZ243" s="14"/>
      <c r="CA243" s="14"/>
      <c r="CB243" s="14"/>
      <c r="CC243" s="14"/>
      <c r="CD243" s="14"/>
      <c r="CE243" s="14"/>
      <c r="CF243" s="14"/>
      <c r="CG243" s="91"/>
      <c r="CH243" s="91"/>
      <c r="CI243" s="91"/>
      <c r="CJ243" s="91"/>
      <c r="CK243" s="91"/>
      <c r="CL243" s="91"/>
      <c r="CM243" s="91"/>
      <c r="CN243" s="91"/>
      <c r="CO243" s="91"/>
      <c r="CP243" s="91"/>
      <c r="CQ243" s="91"/>
      <c r="CR243" s="91"/>
      <c r="CS243" s="91"/>
      <c r="CT243" s="91"/>
      <c r="CU243" s="91"/>
      <c r="CV243" s="91"/>
    </row>
    <row r="244" spans="1:100" x14ac:dyDescent="0.2">
      <c r="A244" s="14"/>
      <c r="B244" s="14"/>
      <c r="C244" s="14"/>
      <c r="D244" s="14"/>
      <c r="E244" s="14"/>
      <c r="F244" s="14"/>
      <c r="G244" s="14"/>
      <c r="H244" s="14"/>
      <c r="I244" s="14"/>
      <c r="J244" s="14"/>
      <c r="K244" s="86"/>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4"/>
      <c r="BG244" s="14"/>
      <c r="BH244" s="14"/>
      <c r="BI244" s="14"/>
      <c r="BJ244" s="14"/>
      <c r="BK244" s="14"/>
      <c r="BL244" s="14"/>
      <c r="BM244" s="14"/>
      <c r="BN244" s="14"/>
      <c r="BO244" s="14"/>
      <c r="BP244" s="14"/>
      <c r="BQ244" s="14"/>
      <c r="BR244" s="14"/>
      <c r="BS244" s="14"/>
      <c r="BT244" s="14"/>
      <c r="BU244" s="14"/>
      <c r="BV244" s="14"/>
      <c r="BW244" s="14"/>
      <c r="BX244" s="14"/>
      <c r="BY244" s="14"/>
      <c r="BZ244" s="14"/>
      <c r="CA244" s="14"/>
      <c r="CB244" s="14"/>
      <c r="CC244" s="14"/>
      <c r="CD244" s="14"/>
      <c r="CE244" s="14"/>
      <c r="CF244" s="14"/>
      <c r="CG244" s="91"/>
      <c r="CH244" s="91"/>
      <c r="CI244" s="91"/>
      <c r="CJ244" s="91"/>
      <c r="CK244" s="91"/>
      <c r="CL244" s="91"/>
      <c r="CM244" s="91"/>
      <c r="CN244" s="91"/>
      <c r="CO244" s="91"/>
      <c r="CP244" s="91"/>
      <c r="CQ244" s="91"/>
      <c r="CR244" s="91"/>
      <c r="CS244" s="91"/>
      <c r="CT244" s="91"/>
      <c r="CU244" s="91"/>
      <c r="CV244" s="91"/>
    </row>
    <row r="245" spans="1:100" x14ac:dyDescent="0.2">
      <c r="A245" s="14"/>
      <c r="B245" s="14"/>
      <c r="C245" s="14"/>
      <c r="D245" s="14"/>
      <c r="E245" s="14"/>
      <c r="F245" s="14"/>
      <c r="G245" s="14"/>
      <c r="H245" s="14"/>
      <c r="I245" s="14"/>
      <c r="J245" s="14"/>
      <c r="K245" s="86"/>
      <c r="L245" s="14"/>
      <c r="M245" s="14"/>
      <c r="N245" s="14"/>
      <c r="O245" s="14"/>
      <c r="P245" s="14"/>
      <c r="Q245" s="14"/>
      <c r="R245" s="14"/>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4"/>
      <c r="BT245" s="14"/>
      <c r="BU245" s="14"/>
      <c r="BV245" s="14"/>
      <c r="BW245" s="14"/>
      <c r="BX245" s="14"/>
      <c r="BY245" s="14"/>
      <c r="BZ245" s="14"/>
      <c r="CA245" s="14"/>
      <c r="CB245" s="14"/>
      <c r="CC245" s="14"/>
      <c r="CD245" s="14"/>
      <c r="CE245" s="14"/>
      <c r="CF245" s="14"/>
      <c r="CG245" s="91"/>
      <c r="CH245" s="91"/>
      <c r="CI245" s="91"/>
      <c r="CJ245" s="91"/>
      <c r="CK245" s="91"/>
      <c r="CL245" s="91"/>
      <c r="CM245" s="91"/>
      <c r="CN245" s="91"/>
      <c r="CO245" s="91"/>
      <c r="CP245" s="91"/>
      <c r="CQ245" s="91"/>
      <c r="CR245" s="91"/>
      <c r="CS245" s="91"/>
      <c r="CT245" s="91"/>
      <c r="CU245" s="91"/>
      <c r="CV245" s="91"/>
    </row>
    <row r="246" spans="1:100" x14ac:dyDescent="0.2">
      <c r="A246" s="14"/>
      <c r="B246" s="14"/>
      <c r="C246" s="14"/>
      <c r="D246" s="14"/>
      <c r="E246" s="14"/>
      <c r="F246" s="14"/>
      <c r="G246" s="14"/>
      <c r="H246" s="14"/>
      <c r="I246" s="14"/>
      <c r="J246" s="14"/>
      <c r="K246" s="86"/>
      <c r="L246" s="14"/>
      <c r="M246" s="14"/>
      <c r="N246" s="14"/>
      <c r="O246" s="14"/>
      <c r="P246" s="14"/>
      <c r="Q246" s="14"/>
      <c r="R246" s="14"/>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14"/>
      <c r="AR246" s="14"/>
      <c r="AS246" s="14"/>
      <c r="AT246" s="14"/>
      <c r="AU246" s="14"/>
      <c r="AV246" s="14"/>
      <c r="AW246" s="14"/>
      <c r="AX246" s="14"/>
      <c r="AY246" s="14"/>
      <c r="AZ246" s="14"/>
      <c r="BA246" s="14"/>
      <c r="BB246" s="14"/>
      <c r="BC246" s="14"/>
      <c r="BD246" s="14"/>
      <c r="BE246" s="14"/>
      <c r="BF246" s="14"/>
      <c r="BG246" s="14"/>
      <c r="BH246" s="14"/>
      <c r="BI246" s="14"/>
      <c r="BJ246" s="14"/>
      <c r="BK246" s="14"/>
      <c r="BL246" s="14"/>
      <c r="BM246" s="14"/>
      <c r="BN246" s="14"/>
      <c r="BO246" s="14"/>
      <c r="BP246" s="14"/>
      <c r="BQ246" s="14"/>
      <c r="BR246" s="14"/>
      <c r="BS246" s="14"/>
      <c r="BT246" s="14"/>
      <c r="BU246" s="14"/>
      <c r="BV246" s="14"/>
      <c r="BW246" s="14"/>
      <c r="BX246" s="14"/>
      <c r="BY246" s="14"/>
      <c r="BZ246" s="14"/>
      <c r="CA246" s="14"/>
      <c r="CB246" s="14"/>
      <c r="CC246" s="14"/>
      <c r="CD246" s="14"/>
      <c r="CE246" s="14"/>
      <c r="CF246" s="14"/>
      <c r="CG246" s="91"/>
      <c r="CH246" s="91"/>
      <c r="CI246" s="91"/>
      <c r="CJ246" s="91"/>
      <c r="CK246" s="91"/>
      <c r="CL246" s="91"/>
      <c r="CM246" s="91"/>
      <c r="CN246" s="91"/>
      <c r="CO246" s="91"/>
      <c r="CP246" s="91"/>
      <c r="CQ246" s="91"/>
      <c r="CR246" s="91"/>
      <c r="CS246" s="91"/>
      <c r="CT246" s="91"/>
      <c r="CU246" s="91"/>
      <c r="CV246" s="91"/>
    </row>
    <row r="247" spans="1:100" x14ac:dyDescent="0.2">
      <c r="A247" s="14"/>
      <c r="B247" s="14"/>
      <c r="C247" s="14"/>
      <c r="D247" s="14"/>
      <c r="E247" s="14"/>
      <c r="F247" s="14"/>
      <c r="G247" s="14"/>
      <c r="H247" s="14"/>
      <c r="I247" s="14"/>
      <c r="J247" s="14"/>
      <c r="K247" s="86"/>
      <c r="L247" s="14"/>
      <c r="M247" s="14"/>
      <c r="N247" s="14"/>
      <c r="O247" s="14"/>
      <c r="P247" s="14"/>
      <c r="Q247" s="14"/>
      <c r="R247" s="14"/>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4"/>
      <c r="BT247" s="14"/>
      <c r="BU247" s="14"/>
      <c r="BV247" s="14"/>
      <c r="BW247" s="14"/>
      <c r="BX247" s="14"/>
      <c r="BY247" s="14"/>
      <c r="BZ247" s="14"/>
      <c r="CA247" s="14"/>
      <c r="CB247" s="14"/>
      <c r="CC247" s="14"/>
      <c r="CD247" s="14"/>
      <c r="CE247" s="14"/>
      <c r="CF247" s="14"/>
      <c r="CG247" s="91"/>
      <c r="CH247" s="91"/>
      <c r="CI247" s="91"/>
      <c r="CJ247" s="91"/>
      <c r="CK247" s="91"/>
      <c r="CL247" s="91"/>
      <c r="CM247" s="91"/>
      <c r="CN247" s="91"/>
      <c r="CO247" s="91"/>
      <c r="CP247" s="91"/>
      <c r="CQ247" s="91"/>
      <c r="CR247" s="91"/>
      <c r="CS247" s="91"/>
      <c r="CT247" s="91"/>
      <c r="CU247" s="91"/>
      <c r="CV247" s="91"/>
    </row>
    <row r="248" spans="1:100" x14ac:dyDescent="0.2">
      <c r="A248" s="14"/>
      <c r="B248" s="14"/>
      <c r="C248" s="14"/>
      <c r="D248" s="14"/>
      <c r="E248" s="14"/>
      <c r="F248" s="14"/>
      <c r="G248" s="14"/>
      <c r="H248" s="14"/>
      <c r="I248" s="14"/>
      <c r="J248" s="14"/>
      <c r="K248" s="86"/>
      <c r="L248" s="14"/>
      <c r="M248" s="14"/>
      <c r="N248" s="14"/>
      <c r="O248" s="14"/>
      <c r="P248" s="14"/>
      <c r="Q248" s="14"/>
      <c r="R248" s="14"/>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4"/>
      <c r="BT248" s="14"/>
      <c r="BU248" s="14"/>
      <c r="BV248" s="14"/>
      <c r="BW248" s="14"/>
      <c r="BX248" s="14"/>
      <c r="BY248" s="14"/>
      <c r="BZ248" s="14"/>
      <c r="CA248" s="14"/>
      <c r="CB248" s="14"/>
      <c r="CC248" s="14"/>
      <c r="CD248" s="14"/>
      <c r="CE248" s="14"/>
      <c r="CF248" s="14"/>
      <c r="CG248" s="91"/>
      <c r="CH248" s="91"/>
      <c r="CI248" s="91"/>
      <c r="CJ248" s="91"/>
      <c r="CK248" s="91"/>
      <c r="CL248" s="91"/>
      <c r="CM248" s="91"/>
      <c r="CN248" s="91"/>
      <c r="CO248" s="91"/>
      <c r="CP248" s="91"/>
      <c r="CQ248" s="91"/>
      <c r="CR248" s="91"/>
      <c r="CS248" s="91"/>
      <c r="CT248" s="91"/>
      <c r="CU248" s="91"/>
      <c r="CV248" s="91"/>
    </row>
    <row r="249" spans="1:100" x14ac:dyDescent="0.2">
      <c r="A249" s="14"/>
      <c r="B249" s="14"/>
      <c r="C249" s="14"/>
      <c r="D249" s="14"/>
      <c r="E249" s="14"/>
      <c r="F249" s="14"/>
      <c r="G249" s="14"/>
      <c r="H249" s="14"/>
      <c r="I249" s="14"/>
      <c r="J249" s="14"/>
      <c r="K249" s="86"/>
      <c r="L249" s="14"/>
      <c r="M249" s="14"/>
      <c r="N249" s="14"/>
      <c r="O249" s="14"/>
      <c r="P249" s="14"/>
      <c r="Q249" s="14"/>
      <c r="R249" s="14"/>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14"/>
      <c r="AR249" s="14"/>
      <c r="AS249" s="14"/>
      <c r="AT249" s="14"/>
      <c r="AU249" s="14"/>
      <c r="AV249" s="14"/>
      <c r="AW249" s="14"/>
      <c r="AX249" s="14"/>
      <c r="AY249" s="14"/>
      <c r="AZ249" s="14"/>
      <c r="BA249" s="14"/>
      <c r="BB249" s="14"/>
      <c r="BC249" s="14"/>
      <c r="BD249" s="14"/>
      <c r="BE249" s="14"/>
      <c r="BF249" s="14"/>
      <c r="BG249" s="14"/>
      <c r="BH249" s="14"/>
      <c r="BI249" s="14"/>
      <c r="BJ249" s="14"/>
      <c r="BK249" s="14"/>
      <c r="BL249" s="14"/>
      <c r="BM249" s="14"/>
      <c r="BN249" s="14"/>
      <c r="BO249" s="14"/>
      <c r="BP249" s="14"/>
      <c r="BQ249" s="14"/>
      <c r="BR249" s="14"/>
      <c r="BS249" s="14"/>
      <c r="BT249" s="14"/>
      <c r="BU249" s="14"/>
      <c r="BV249" s="14"/>
      <c r="BW249" s="14"/>
      <c r="BX249" s="14"/>
      <c r="BY249" s="14"/>
      <c r="BZ249" s="14"/>
      <c r="CA249" s="14"/>
      <c r="CB249" s="14"/>
      <c r="CC249" s="14"/>
      <c r="CD249" s="14"/>
      <c r="CE249" s="14"/>
      <c r="CF249" s="14"/>
      <c r="CG249" s="91"/>
      <c r="CH249" s="91"/>
      <c r="CI249" s="91"/>
      <c r="CJ249" s="91"/>
      <c r="CK249" s="91"/>
      <c r="CL249" s="91"/>
      <c r="CM249" s="91"/>
      <c r="CN249" s="91"/>
      <c r="CO249" s="91"/>
      <c r="CP249" s="91"/>
      <c r="CQ249" s="91"/>
      <c r="CR249" s="91"/>
      <c r="CS249" s="91"/>
      <c r="CT249" s="91"/>
      <c r="CU249" s="91"/>
      <c r="CV249" s="91"/>
    </row>
    <row r="250" spans="1:100" x14ac:dyDescent="0.2">
      <c r="A250" s="14"/>
      <c r="B250" s="14"/>
      <c r="C250" s="14"/>
      <c r="D250" s="14"/>
      <c r="E250" s="14"/>
      <c r="F250" s="14"/>
      <c r="G250" s="14"/>
      <c r="H250" s="14"/>
      <c r="I250" s="14"/>
      <c r="J250" s="14"/>
      <c r="K250" s="86"/>
      <c r="L250" s="14"/>
      <c r="M250" s="14"/>
      <c r="N250" s="14"/>
      <c r="O250" s="14"/>
      <c r="P250" s="14"/>
      <c r="Q250" s="14"/>
      <c r="R250" s="14"/>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4"/>
      <c r="BT250" s="14"/>
      <c r="BU250" s="14"/>
      <c r="BV250" s="14"/>
      <c r="BW250" s="14"/>
      <c r="BX250" s="14"/>
      <c r="BY250" s="14"/>
      <c r="BZ250" s="14"/>
      <c r="CA250" s="14"/>
      <c r="CB250" s="14"/>
      <c r="CC250" s="14"/>
      <c r="CD250" s="14"/>
      <c r="CE250" s="14"/>
      <c r="CF250" s="14"/>
      <c r="CG250" s="91"/>
      <c r="CH250" s="91"/>
      <c r="CI250" s="91"/>
      <c r="CJ250" s="91"/>
      <c r="CK250" s="91"/>
      <c r="CL250" s="91"/>
      <c r="CM250" s="91"/>
      <c r="CN250" s="91"/>
      <c r="CO250" s="91"/>
      <c r="CP250" s="91"/>
      <c r="CQ250" s="91"/>
      <c r="CR250" s="91"/>
      <c r="CS250" s="91"/>
      <c r="CT250" s="91"/>
      <c r="CU250" s="91"/>
      <c r="CV250" s="91"/>
    </row>
  </sheetData>
  <mergeCells count="32">
    <mergeCell ref="CV1:CV2"/>
    <mergeCell ref="AU3:AW3"/>
    <mergeCell ref="AX3:BE3"/>
    <mergeCell ref="BF3:BG3"/>
    <mergeCell ref="BI3:BJ3"/>
    <mergeCell ref="BH2:BO2"/>
    <mergeCell ref="AX2:BG2"/>
    <mergeCell ref="AM2:AW2"/>
    <mergeCell ref="BR2:BT2"/>
    <mergeCell ref="BU2:BY2"/>
    <mergeCell ref="BZ2:CE2"/>
    <mergeCell ref="CG1:CP2"/>
    <mergeCell ref="CQ1:CU2"/>
    <mergeCell ref="BV3:BY3"/>
    <mergeCell ref="AG3:AH3"/>
    <mergeCell ref="AI3:AL3"/>
    <mergeCell ref="AM3:AO3"/>
    <mergeCell ref="AP3:AT3"/>
    <mergeCell ref="BP2:BQ2"/>
    <mergeCell ref="A1:P1"/>
    <mergeCell ref="S1:AF1"/>
    <mergeCell ref="AG1:BO1"/>
    <mergeCell ref="BP1:CF1"/>
    <mergeCell ref="U2:W2"/>
    <mergeCell ref="X2:Y2"/>
    <mergeCell ref="Z2:AE2"/>
    <mergeCell ref="AG2:AL2"/>
    <mergeCell ref="A2:E2"/>
    <mergeCell ref="F2:I2"/>
    <mergeCell ref="J2:L2"/>
    <mergeCell ref="M2:P2"/>
    <mergeCell ref="S2:T2"/>
  </mergeCells>
  <phoneticPr fontId="3" type="noConversion"/>
  <conditionalFormatting sqref="A4:A10">
    <cfRule type="duplicateValues" dxfId="124" priority="6"/>
  </conditionalFormatting>
  <conditionalFormatting sqref="B4:CV7 B8:BU10 BW8:CV10">
    <cfRule type="duplicateValues" dxfId="123" priority="5"/>
  </conditionalFormatting>
  <conditionalFormatting sqref="A11">
    <cfRule type="duplicateValues" dxfId="122" priority="4"/>
  </conditionalFormatting>
  <conditionalFormatting sqref="B11:BU11 BW11:CV11">
    <cfRule type="duplicateValues" dxfId="121" priority="3"/>
  </conditionalFormatting>
  <conditionalFormatting sqref="BV8:BV10">
    <cfRule type="duplicateValues" dxfId="120" priority="2"/>
  </conditionalFormatting>
  <conditionalFormatting sqref="BV11">
    <cfRule type="duplicateValues" dxfId="119" priority="1"/>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CV115"/>
  <sheetViews>
    <sheetView showGridLines="0" topLeftCell="A71" zoomScaleNormal="100" workbookViewId="0">
      <selection activeCell="D11" sqref="D11"/>
    </sheetView>
  </sheetViews>
  <sheetFormatPr defaultColWidth="0" defaultRowHeight="13.8" zeroHeight="1" outlineLevelRow="1" outlineLevelCol="1" x14ac:dyDescent="0.3"/>
  <cols>
    <col min="1" max="2" width="1.77734375" style="17" customWidth="1"/>
    <col min="3" max="3" width="32.44140625" style="17" customWidth="1"/>
    <col min="4" max="4" width="38.77734375" style="17" customWidth="1"/>
    <col min="5" max="5" width="14.77734375" style="17" customWidth="1"/>
    <col min="6" max="6" width="42.77734375" style="17" customWidth="1"/>
    <col min="7" max="7" width="10.77734375" style="17" customWidth="1"/>
    <col min="8" max="9" width="15.77734375" style="17" customWidth="1"/>
    <col min="10" max="10" width="15" style="17" customWidth="1"/>
    <col min="11" max="11" width="9.44140625" style="17" customWidth="1"/>
    <col min="12" max="14" width="8.77734375" style="17" hidden="1" customWidth="1" outlineLevel="1"/>
    <col min="15" max="15" width="29.21875" style="17" hidden="1" customWidth="1" outlineLevel="1"/>
    <col min="16" max="16" width="48.21875" style="17" hidden="1" customWidth="1" outlineLevel="1"/>
    <col min="17" max="17" width="8.77734375" style="17" hidden="1" customWidth="1" outlineLevel="1"/>
    <col min="18" max="18" width="19.77734375" style="17" hidden="1" customWidth="1" outlineLevel="1"/>
    <col min="19" max="19" width="14.5546875" style="17" hidden="1" customWidth="1" outlineLevel="1"/>
    <col min="20" max="20" width="35.21875" style="17" hidden="1" customWidth="1" outlineLevel="1"/>
    <col min="21" max="21" width="16" style="17" hidden="1" customWidth="1" outlineLevel="1"/>
    <col min="22" max="22" width="13" style="17" hidden="1" customWidth="1"/>
    <col min="23" max="23" width="22.77734375" style="17" hidden="1" customWidth="1"/>
    <col min="24" max="30" width="8.77734375" style="17" hidden="1" customWidth="1"/>
    <col min="31" max="31" width="11.77734375" style="17" hidden="1" customWidth="1"/>
    <col min="32" max="99" width="8.77734375" style="17" hidden="1" customWidth="1"/>
    <col min="100" max="100" width="9.21875" style="17" hidden="1" customWidth="1"/>
    <col min="101" max="16384" width="8.77734375" style="17" hidden="1"/>
  </cols>
  <sheetData>
    <row r="1" spans="1:100" s="6" customFormat="1" ht="14.7" hidden="1" customHeight="1" outlineLevel="1" x14ac:dyDescent="0.2">
      <c r="A1" s="5"/>
      <c r="B1" s="5"/>
      <c r="C1" s="5"/>
      <c r="D1" s="5"/>
      <c r="E1" s="5"/>
      <c r="F1" s="5"/>
      <c r="G1" s="5"/>
      <c r="H1" s="5"/>
      <c r="I1" s="5"/>
      <c r="J1" s="5"/>
      <c r="K1" s="5"/>
      <c r="L1" s="5"/>
      <c r="M1" s="212" t="s">
        <v>41</v>
      </c>
      <c r="N1" s="213"/>
      <c r="O1" s="213"/>
      <c r="P1" s="213"/>
      <c r="Q1" s="213"/>
      <c r="R1" s="213"/>
      <c r="S1" s="214" t="s">
        <v>42</v>
      </c>
      <c r="T1" s="214"/>
      <c r="U1" s="214"/>
      <c r="V1" s="214"/>
      <c r="W1" s="214"/>
      <c r="X1" s="214"/>
      <c r="Y1" s="214"/>
      <c r="Z1" s="214"/>
      <c r="AA1" s="214"/>
      <c r="AB1" s="214"/>
      <c r="AC1" s="214"/>
      <c r="AD1" s="214"/>
      <c r="AE1" s="214"/>
      <c r="AF1" s="214"/>
      <c r="AG1" s="255"/>
      <c r="AH1" s="255"/>
      <c r="AI1" s="255"/>
      <c r="AJ1" s="255"/>
      <c r="AK1" s="255"/>
      <c r="AL1" s="255"/>
      <c r="AM1" s="255"/>
      <c r="AN1" s="255"/>
      <c r="AO1" s="255"/>
      <c r="AP1" s="255"/>
      <c r="AQ1" s="255"/>
      <c r="AR1" s="255"/>
      <c r="AS1" s="255"/>
      <c r="AT1" s="255"/>
      <c r="AU1" s="255"/>
      <c r="AV1" s="255"/>
      <c r="AW1" s="255"/>
      <c r="AX1" s="255"/>
      <c r="AY1" s="255"/>
      <c r="AZ1" s="255"/>
      <c r="BA1" s="255"/>
      <c r="BB1" s="255"/>
      <c r="BC1" s="255"/>
      <c r="BD1" s="255"/>
      <c r="BE1" s="255"/>
      <c r="BF1" s="255"/>
      <c r="BG1" s="255"/>
      <c r="BH1" s="255"/>
      <c r="BI1" s="255"/>
      <c r="BJ1" s="255"/>
      <c r="BK1" s="255"/>
      <c r="BL1" s="255"/>
      <c r="BM1" s="255"/>
      <c r="BN1" s="255"/>
      <c r="BO1" s="255"/>
      <c r="BP1" s="214" t="s">
        <v>43</v>
      </c>
      <c r="BQ1" s="214"/>
      <c r="BR1" s="214"/>
      <c r="BS1" s="214"/>
      <c r="BT1" s="214"/>
      <c r="BU1" s="214"/>
      <c r="BV1" s="214"/>
      <c r="BW1" s="214"/>
      <c r="BX1" s="214"/>
      <c r="BY1" s="214"/>
      <c r="BZ1" s="214"/>
      <c r="CA1" s="214"/>
      <c r="CB1" s="214"/>
      <c r="CC1" s="214"/>
      <c r="CD1" s="214"/>
      <c r="CE1" s="214"/>
      <c r="CF1" s="214"/>
      <c r="CG1" s="246" t="s">
        <v>44</v>
      </c>
      <c r="CH1" s="246"/>
      <c r="CI1" s="246"/>
      <c r="CJ1" s="246"/>
      <c r="CK1" s="246"/>
      <c r="CL1" s="246"/>
      <c r="CM1" s="246"/>
      <c r="CN1" s="246"/>
      <c r="CO1" s="246"/>
      <c r="CP1" s="246"/>
      <c r="CQ1" s="247" t="s">
        <v>45</v>
      </c>
      <c r="CR1" s="247"/>
      <c r="CS1" s="247"/>
      <c r="CT1" s="247"/>
      <c r="CU1" s="247"/>
      <c r="CV1" s="68"/>
    </row>
    <row r="2" spans="1:100" s="6" customFormat="1" ht="14.7" hidden="1" customHeight="1" outlineLevel="1" x14ac:dyDescent="0.2">
      <c r="A2" s="7"/>
      <c r="B2" s="7"/>
      <c r="C2" s="7"/>
      <c r="D2" s="7"/>
      <c r="E2" s="7"/>
      <c r="F2" s="7"/>
      <c r="G2" s="7"/>
      <c r="H2" s="7"/>
      <c r="I2" s="7"/>
      <c r="J2" s="7"/>
      <c r="K2" s="7"/>
      <c r="L2" s="7"/>
      <c r="M2" s="215" t="s">
        <v>46</v>
      </c>
      <c r="N2" s="216"/>
      <c r="O2" s="216"/>
      <c r="P2" s="216"/>
      <c r="Q2" s="216"/>
      <c r="R2" s="217"/>
      <c r="S2" s="218" t="s">
        <v>47</v>
      </c>
      <c r="T2" s="219"/>
      <c r="U2" s="220" t="s">
        <v>48</v>
      </c>
      <c r="V2" s="221"/>
      <c r="W2" s="219"/>
      <c r="X2" s="222" t="s">
        <v>49</v>
      </c>
      <c r="Y2" s="223"/>
      <c r="Z2" s="220" t="s">
        <v>50</v>
      </c>
      <c r="AA2" s="221"/>
      <c r="AB2" s="221"/>
      <c r="AC2" s="221"/>
      <c r="AD2" s="221"/>
      <c r="AE2" s="219"/>
      <c r="AF2" s="66" t="s">
        <v>51</v>
      </c>
      <c r="AG2" s="214" t="s">
        <v>52</v>
      </c>
      <c r="AH2" s="214"/>
      <c r="AI2" s="214" t="s">
        <v>53</v>
      </c>
      <c r="AJ2" s="214"/>
      <c r="AK2" s="214"/>
      <c r="AL2" s="214"/>
      <c r="AM2" s="214" t="s">
        <v>54</v>
      </c>
      <c r="AN2" s="214"/>
      <c r="AO2" s="214"/>
      <c r="AP2" s="406" t="s">
        <v>55</v>
      </c>
      <c r="AQ2" s="407"/>
      <c r="AR2" s="407"/>
      <c r="AS2" s="407"/>
      <c r="AT2" s="408"/>
      <c r="AU2" s="214" t="s">
        <v>56</v>
      </c>
      <c r="AV2" s="214"/>
      <c r="AW2" s="214"/>
      <c r="AX2" s="214" t="s">
        <v>293</v>
      </c>
      <c r="AY2" s="214"/>
      <c r="AZ2" s="214"/>
      <c r="BA2" s="214"/>
      <c r="BB2" s="214"/>
      <c r="BC2" s="214"/>
      <c r="BD2" s="214"/>
      <c r="BE2" s="214"/>
      <c r="BF2" s="214" t="s">
        <v>58</v>
      </c>
      <c r="BG2" s="214"/>
      <c r="BH2" s="68" t="s">
        <v>59</v>
      </c>
      <c r="BI2" s="214" t="s">
        <v>60</v>
      </c>
      <c r="BJ2" s="214"/>
      <c r="BK2" s="68" t="s">
        <v>61</v>
      </c>
      <c r="BL2" s="68" t="s">
        <v>62</v>
      </c>
      <c r="BM2" s="68" t="s">
        <v>63</v>
      </c>
      <c r="BN2" s="68" t="s">
        <v>64</v>
      </c>
      <c r="BO2" s="69" t="s">
        <v>51</v>
      </c>
      <c r="BP2" s="218" t="s">
        <v>47</v>
      </c>
      <c r="BQ2" s="219"/>
      <c r="BR2" s="220" t="s">
        <v>48</v>
      </c>
      <c r="BS2" s="221"/>
      <c r="BT2" s="219"/>
      <c r="BU2" s="370" t="s">
        <v>49</v>
      </c>
      <c r="BV2" s="371"/>
      <c r="BW2" s="371"/>
      <c r="BX2" s="371"/>
      <c r="BY2" s="372"/>
      <c r="BZ2" s="220" t="s">
        <v>50</v>
      </c>
      <c r="CA2" s="221"/>
      <c r="CB2" s="221"/>
      <c r="CC2" s="221"/>
      <c r="CD2" s="221"/>
      <c r="CE2" s="219"/>
      <c r="CF2" s="66" t="s">
        <v>51</v>
      </c>
      <c r="CG2" s="137"/>
      <c r="CH2" s="137"/>
      <c r="CI2" s="137"/>
      <c r="CJ2" s="137"/>
      <c r="CK2" s="137"/>
      <c r="CL2" s="137"/>
      <c r="CM2" s="137"/>
      <c r="CN2" s="137"/>
      <c r="CO2" s="137"/>
      <c r="CP2" s="137"/>
      <c r="CQ2" s="68" t="s">
        <v>47</v>
      </c>
      <c r="CR2" s="68" t="s">
        <v>48</v>
      </c>
      <c r="CS2" s="68" t="s">
        <v>49</v>
      </c>
      <c r="CT2" s="68" t="s">
        <v>50</v>
      </c>
      <c r="CU2" s="68" t="s">
        <v>51</v>
      </c>
      <c r="CV2" s="68" t="s">
        <v>65</v>
      </c>
    </row>
    <row r="3" spans="1:100" s="6" customFormat="1" ht="14.7" hidden="1" customHeight="1" outlineLevel="1" x14ac:dyDescent="0.2">
      <c r="A3" s="8" t="s">
        <v>66</v>
      </c>
      <c r="B3" s="8" t="s">
        <v>67</v>
      </c>
      <c r="C3" s="8" t="s">
        <v>68</v>
      </c>
      <c r="D3" s="8" t="s">
        <v>69</v>
      </c>
      <c r="E3" s="8" t="s">
        <v>70</v>
      </c>
      <c r="F3" s="8" t="s">
        <v>71</v>
      </c>
      <c r="G3" s="8" t="s">
        <v>72</v>
      </c>
      <c r="H3" s="8" t="s">
        <v>73</v>
      </c>
      <c r="I3" s="8" t="s">
        <v>74</v>
      </c>
      <c r="J3" s="8" t="s">
        <v>75</v>
      </c>
      <c r="K3" s="8" t="s">
        <v>76</v>
      </c>
      <c r="L3" s="9" t="s">
        <v>77</v>
      </c>
      <c r="M3" s="5" t="s">
        <v>78</v>
      </c>
      <c r="N3" s="5" t="s">
        <v>79</v>
      </c>
      <c r="O3" s="5" t="s">
        <v>80</v>
      </c>
      <c r="P3" s="5" t="s">
        <v>81</v>
      </c>
      <c r="Q3" s="10" t="s">
        <v>82</v>
      </c>
      <c r="R3" s="8" t="s">
        <v>83</v>
      </c>
      <c r="S3" s="11" t="s">
        <v>52</v>
      </c>
      <c r="T3" s="11" t="s">
        <v>84</v>
      </c>
      <c r="U3" s="11" t="s">
        <v>54</v>
      </c>
      <c r="V3" s="11" t="s">
        <v>85</v>
      </c>
      <c r="W3" s="11" t="s">
        <v>56</v>
      </c>
      <c r="X3" s="11" t="s">
        <v>294</v>
      </c>
      <c r="Y3" s="11" t="s">
        <v>58</v>
      </c>
      <c r="Z3" s="11" t="s">
        <v>59</v>
      </c>
      <c r="AA3" s="11" t="s">
        <v>60</v>
      </c>
      <c r="AB3" s="11" t="s">
        <v>61</v>
      </c>
      <c r="AC3" s="11" t="s">
        <v>62</v>
      </c>
      <c r="AD3" s="11" t="s">
        <v>63</v>
      </c>
      <c r="AE3" s="45" t="s">
        <v>64</v>
      </c>
      <c r="AF3" s="129" t="s">
        <v>51</v>
      </c>
      <c r="AG3" s="12" t="s">
        <v>87</v>
      </c>
      <c r="AH3" s="12" t="s">
        <v>88</v>
      </c>
      <c r="AI3" s="12" t="s">
        <v>89</v>
      </c>
      <c r="AJ3" s="12" t="s">
        <v>90</v>
      </c>
      <c r="AK3" s="12" t="s">
        <v>91</v>
      </c>
      <c r="AL3" s="12" t="s">
        <v>92</v>
      </c>
      <c r="AM3" s="12" t="s">
        <v>93</v>
      </c>
      <c r="AN3" s="12" t="s">
        <v>94</v>
      </c>
      <c r="AO3" s="12" t="s">
        <v>95</v>
      </c>
      <c r="AP3" s="135" t="s">
        <v>96</v>
      </c>
      <c r="AQ3" s="67" t="s">
        <v>99</v>
      </c>
      <c r="AR3" s="135" t="s">
        <v>98</v>
      </c>
      <c r="AS3" s="136" t="s">
        <v>97</v>
      </c>
      <c r="AT3" s="136" t="s">
        <v>141</v>
      </c>
      <c r="AU3" s="136" t="s">
        <v>101</v>
      </c>
      <c r="AV3" s="134" t="s">
        <v>102</v>
      </c>
      <c r="AW3" s="12" t="s">
        <v>103</v>
      </c>
      <c r="AX3" s="136" t="s">
        <v>104</v>
      </c>
      <c r="AY3" s="134" t="s">
        <v>105</v>
      </c>
      <c r="AZ3" s="135" t="s">
        <v>106</v>
      </c>
      <c r="BA3" s="134" t="s">
        <v>107</v>
      </c>
      <c r="BB3" s="12" t="s">
        <v>108</v>
      </c>
      <c r="BC3" s="12" t="s">
        <v>295</v>
      </c>
      <c r="BD3" s="12" t="s">
        <v>110</v>
      </c>
      <c r="BE3" s="12" t="s">
        <v>111</v>
      </c>
      <c r="BF3" s="12" t="s">
        <v>112</v>
      </c>
      <c r="BG3" s="12" t="s">
        <v>113</v>
      </c>
      <c r="BH3" s="12" t="s">
        <v>296</v>
      </c>
      <c r="BI3" s="12" t="s">
        <v>115</v>
      </c>
      <c r="BJ3" s="12" t="s">
        <v>116</v>
      </c>
      <c r="BK3" s="12" t="s">
        <v>117</v>
      </c>
      <c r="BL3" s="12" t="s">
        <v>118</v>
      </c>
      <c r="BM3" s="12" t="s">
        <v>119</v>
      </c>
      <c r="BN3" s="12" t="s">
        <v>120</v>
      </c>
      <c r="BO3" s="70" t="s">
        <v>51</v>
      </c>
      <c r="BP3" s="11" t="s">
        <v>52</v>
      </c>
      <c r="BQ3" s="11" t="s">
        <v>84</v>
      </c>
      <c r="BR3" s="11" t="s">
        <v>54</v>
      </c>
      <c r="BS3" s="11" t="s">
        <v>85</v>
      </c>
      <c r="BT3" s="11" t="s">
        <v>56</v>
      </c>
      <c r="BU3" s="11" t="s">
        <v>293</v>
      </c>
      <c r="BV3" s="11" t="s">
        <v>121</v>
      </c>
      <c r="BW3" s="11" t="s">
        <v>122</v>
      </c>
      <c r="BX3" s="11" t="s">
        <v>123</v>
      </c>
      <c r="BY3" s="11" t="s">
        <v>124</v>
      </c>
      <c r="BZ3" s="11" t="s">
        <v>59</v>
      </c>
      <c r="CA3" s="11" t="s">
        <v>60</v>
      </c>
      <c r="CB3" s="11" t="s">
        <v>61</v>
      </c>
      <c r="CC3" s="11" t="s">
        <v>62</v>
      </c>
      <c r="CD3" s="11" t="s">
        <v>63</v>
      </c>
      <c r="CE3" s="45" t="s">
        <v>64</v>
      </c>
      <c r="CF3" s="129" t="s">
        <v>51</v>
      </c>
      <c r="CG3" s="68" t="s">
        <v>52</v>
      </c>
      <c r="CH3" s="68" t="s">
        <v>84</v>
      </c>
      <c r="CI3" s="68" t="s">
        <v>54</v>
      </c>
      <c r="CJ3" s="68" t="s">
        <v>55</v>
      </c>
      <c r="CK3" s="68" t="s">
        <v>56</v>
      </c>
      <c r="CL3" s="68" t="s">
        <v>293</v>
      </c>
      <c r="CM3" s="68" t="s">
        <v>58</v>
      </c>
      <c r="CN3" s="68" t="s">
        <v>59</v>
      </c>
      <c r="CO3" s="68" t="s">
        <v>125</v>
      </c>
      <c r="CP3" s="68" t="s">
        <v>51</v>
      </c>
      <c r="CQ3" s="68" t="s">
        <v>47</v>
      </c>
      <c r="CR3" s="68" t="s">
        <v>48</v>
      </c>
      <c r="CS3" s="68" t="s">
        <v>49</v>
      </c>
      <c r="CT3" s="68" t="s">
        <v>50</v>
      </c>
      <c r="CU3" s="68" t="s">
        <v>51</v>
      </c>
      <c r="CV3" s="68" t="s">
        <v>65</v>
      </c>
    </row>
    <row r="4" spans="1:100" s="6" customFormat="1" ht="10.199999999999999" hidden="1" outlineLevel="1" x14ac:dyDescent="0.2">
      <c r="A4" s="11">
        <f>D$9</f>
        <v>0</v>
      </c>
      <c r="B4" s="11">
        <f>$D10</f>
        <v>0</v>
      </c>
      <c r="C4" s="11">
        <f>$D11</f>
        <v>0</v>
      </c>
      <c r="D4" s="11">
        <f>$D12</f>
        <v>0</v>
      </c>
      <c r="E4" s="11">
        <f>$D13</f>
        <v>0</v>
      </c>
      <c r="F4" s="15">
        <f>D15</f>
        <v>0</v>
      </c>
      <c r="G4" s="11">
        <f>D16</f>
        <v>0</v>
      </c>
      <c r="H4" s="15">
        <f>D17</f>
        <v>0</v>
      </c>
      <c r="I4" s="11">
        <f>D18</f>
        <v>0</v>
      </c>
      <c r="J4" s="11" t="e">
        <f>#REF!</f>
        <v>#REF!</v>
      </c>
      <c r="K4" s="16">
        <f ca="1">G10</f>
        <v>45421</v>
      </c>
      <c r="L4" s="11">
        <f>G11</f>
        <v>0</v>
      </c>
      <c r="M4" s="12">
        <f>$G14</f>
        <v>0</v>
      </c>
      <c r="N4" s="12">
        <f>$G15</f>
        <v>0</v>
      </c>
      <c r="O4" s="12">
        <f>$G16</f>
        <v>0</v>
      </c>
      <c r="P4" s="12">
        <f>$G17</f>
        <v>0</v>
      </c>
      <c r="Q4" s="11">
        <f>$G$18</f>
        <v>0</v>
      </c>
      <c r="R4" s="11">
        <f>$G$19</f>
        <v>0</v>
      </c>
      <c r="S4" s="11" t="e">
        <f>#REF!</f>
        <v>#REF!</v>
      </c>
      <c r="T4" s="11" t="e">
        <f>#REF!</f>
        <v>#REF!</v>
      </c>
      <c r="U4" s="11" t="str">
        <f>$E$27</f>
        <v>Met</v>
      </c>
      <c r="V4" s="11" t="str">
        <f>$E$30</f>
        <v>Met</v>
      </c>
      <c r="W4" s="11" t="str">
        <f>$E$35</f>
        <v>Met</v>
      </c>
      <c r="X4" s="11" t="str">
        <f>$E$38</f>
        <v>Met</v>
      </c>
      <c r="Y4" s="11" t="str">
        <f>$E$46</f>
        <v>Met</v>
      </c>
      <c r="Z4" s="11" t="str">
        <f>$E$50</f>
        <v>Met</v>
      </c>
      <c r="AA4" s="11" t="str">
        <f>$E$51</f>
        <v>Met</v>
      </c>
      <c r="AB4" s="11" t="str">
        <f>$E$53</f>
        <v>Met</v>
      </c>
      <c r="AC4" s="11" t="str">
        <f>$E$54</f>
        <v>Met</v>
      </c>
      <c r="AD4" s="11" t="str">
        <f>$E$55</f>
        <v>Met</v>
      </c>
      <c r="AE4" s="11" t="str">
        <f>$E$56</f>
        <v>Met</v>
      </c>
      <c r="AF4" s="12" t="str">
        <f>$E$71</f>
        <v>Met</v>
      </c>
      <c r="AG4" s="11">
        <f>$F65</f>
        <v>0</v>
      </c>
      <c r="AH4" s="11">
        <f>$F66</f>
        <v>0</v>
      </c>
      <c r="AI4" s="11">
        <f>$F67</f>
        <v>0</v>
      </c>
      <c r="AJ4" s="11">
        <f>$F68</f>
        <v>0</v>
      </c>
      <c r="AK4" s="11">
        <f>$F69</f>
        <v>0</v>
      </c>
      <c r="AL4" s="11">
        <f>$F70</f>
        <v>0</v>
      </c>
      <c r="AM4" s="11">
        <f>$F27</f>
        <v>0</v>
      </c>
      <c r="AN4" s="11">
        <f>$F28</f>
        <v>0</v>
      </c>
      <c r="AO4" s="11">
        <f>$F29</f>
        <v>0</v>
      </c>
      <c r="AP4" s="11">
        <f>$F30</f>
        <v>0</v>
      </c>
      <c r="AQ4" s="12">
        <f>$F31</f>
        <v>0</v>
      </c>
      <c r="AR4" s="11">
        <f>$F32</f>
        <v>0</v>
      </c>
      <c r="AS4" s="11">
        <f>$F33</f>
        <v>0</v>
      </c>
      <c r="AT4" s="11">
        <f>$F34</f>
        <v>0</v>
      </c>
      <c r="AU4" s="11">
        <f>$F35</f>
        <v>0</v>
      </c>
      <c r="AV4" s="11">
        <f>$F36</f>
        <v>0</v>
      </c>
      <c r="AW4" s="11">
        <f>$F37</f>
        <v>0</v>
      </c>
      <c r="AX4" s="11">
        <f>$F38</f>
        <v>0</v>
      </c>
      <c r="AY4" s="11">
        <f>$F39</f>
        <v>0</v>
      </c>
      <c r="AZ4" s="11">
        <f>$F40</f>
        <v>0</v>
      </c>
      <c r="BA4" s="11">
        <f>$F41</f>
        <v>0</v>
      </c>
      <c r="BB4" s="11">
        <f>$F42</f>
        <v>0</v>
      </c>
      <c r="BC4" s="11">
        <f>$F43</f>
        <v>0</v>
      </c>
      <c r="BD4" s="11">
        <f>$F44</f>
        <v>0</v>
      </c>
      <c r="BE4" s="11">
        <f>$F45</f>
        <v>0</v>
      </c>
      <c r="BF4" s="11">
        <f>$F46</f>
        <v>0</v>
      </c>
      <c r="BG4" s="11">
        <f>$F47</f>
        <v>0</v>
      </c>
      <c r="BH4" s="11">
        <f>$F50</f>
        <v>0</v>
      </c>
      <c r="BI4" s="11">
        <f>$F51</f>
        <v>0</v>
      </c>
      <c r="BJ4" s="11">
        <f>$F52</f>
        <v>0</v>
      </c>
      <c r="BK4" s="11">
        <f>$F53</f>
        <v>0</v>
      </c>
      <c r="BL4" s="11">
        <f>$F54</f>
        <v>0</v>
      </c>
      <c r="BM4" s="11">
        <f>$F55</f>
        <v>0</v>
      </c>
      <c r="BN4" s="11">
        <f>$F56</f>
        <v>0</v>
      </c>
      <c r="BO4" s="13">
        <f>$F71</f>
        <v>0</v>
      </c>
      <c r="BP4" s="11">
        <f>$G$65</f>
        <v>0</v>
      </c>
      <c r="BQ4" s="11">
        <f>$G$67</f>
        <v>0</v>
      </c>
      <c r="BR4" s="11">
        <f>$G$27</f>
        <v>0</v>
      </c>
      <c r="BS4" s="11">
        <f>$G$30</f>
        <v>0</v>
      </c>
      <c r="BT4" s="11">
        <f>$G$35</f>
        <v>0</v>
      </c>
      <c r="BU4" s="11">
        <f>$G$38</f>
        <v>0</v>
      </c>
      <c r="BV4" s="11">
        <f>$G$46</f>
        <v>0</v>
      </c>
      <c r="BW4" s="11">
        <f>$G$47</f>
        <v>0</v>
      </c>
      <c r="BX4" s="11">
        <f>$G$48</f>
        <v>0</v>
      </c>
      <c r="BY4" s="11">
        <f>$G$49</f>
        <v>0</v>
      </c>
      <c r="BZ4" s="11">
        <f>$G$50</f>
        <v>0</v>
      </c>
      <c r="CA4" s="11">
        <f>$G$51</f>
        <v>0</v>
      </c>
      <c r="CB4" s="11">
        <f>$G$53</f>
        <v>0</v>
      </c>
      <c r="CC4" s="11">
        <f>$G$54</f>
        <v>0</v>
      </c>
      <c r="CD4" s="11">
        <f>$G$55</f>
        <v>0</v>
      </c>
      <c r="CE4" s="11">
        <f>$G$56</f>
        <v>0</v>
      </c>
      <c r="CF4" s="12">
        <f>$G$71</f>
        <v>0</v>
      </c>
      <c r="CG4" s="109">
        <f>$S$65</f>
        <v>0.1</v>
      </c>
      <c r="CH4" s="109">
        <f>$S$67</f>
        <v>0.1</v>
      </c>
      <c r="CI4" s="109">
        <f>$S$27</f>
        <v>0.1</v>
      </c>
      <c r="CJ4" s="109">
        <f>$S$30</f>
        <v>0.1</v>
      </c>
      <c r="CK4" s="109">
        <f>$S$35</f>
        <v>0.05</v>
      </c>
      <c r="CL4" s="109">
        <f>$S$38</f>
        <v>0.05</v>
      </c>
      <c r="CM4" s="109">
        <f>$S$46</f>
        <v>0.05</v>
      </c>
      <c r="CN4" s="109">
        <f>$S$48</f>
        <v>0.05</v>
      </c>
      <c r="CO4" s="109">
        <f>$S$49</f>
        <v>0.05</v>
      </c>
      <c r="CP4" s="109">
        <f>$S$71</f>
        <v>0</v>
      </c>
      <c r="CQ4" s="109">
        <f>$T$65</f>
        <v>0.2</v>
      </c>
      <c r="CR4" s="109">
        <f>$T$27</f>
        <v>0.25</v>
      </c>
      <c r="CS4" s="109">
        <f>$T$38</f>
        <v>0.1</v>
      </c>
      <c r="CT4" s="109">
        <f>$T$48</f>
        <v>0.2</v>
      </c>
      <c r="CU4" s="109">
        <f>$T$71</f>
        <v>0</v>
      </c>
      <c r="CV4" s="109">
        <f>$G$21</f>
        <v>1</v>
      </c>
    </row>
    <row r="5" spans="1:100" collapsed="1" x14ac:dyDescent="0.3"/>
    <row r="6" spans="1:100" ht="16.95" customHeight="1" x14ac:dyDescent="0.3">
      <c r="C6" s="235" t="s">
        <v>297</v>
      </c>
      <c r="D6" s="235"/>
      <c r="E6" s="235"/>
      <c r="F6" s="235"/>
      <c r="G6" s="235"/>
      <c r="H6" s="235"/>
      <c r="I6" s="235"/>
      <c r="J6" s="235"/>
    </row>
    <row r="7" spans="1:100" ht="16.95" customHeight="1" x14ac:dyDescent="0.3">
      <c r="C7" s="235"/>
      <c r="D7" s="235"/>
      <c r="E7" s="235"/>
      <c r="F7" s="235"/>
      <c r="G7" s="235"/>
      <c r="H7" s="235"/>
      <c r="I7" s="235"/>
      <c r="J7" s="235"/>
    </row>
    <row r="8" spans="1:100" x14ac:dyDescent="0.3">
      <c r="C8" s="19"/>
      <c r="D8" s="19"/>
      <c r="E8" s="19"/>
      <c r="F8" s="19"/>
      <c r="G8" s="19"/>
      <c r="H8" s="19"/>
      <c r="I8" s="19"/>
      <c r="J8" s="19"/>
      <c r="K8" s="20"/>
    </row>
    <row r="9" spans="1:100" ht="19.95" customHeight="1" x14ac:dyDescent="0.3">
      <c r="C9" s="21" t="s">
        <v>66</v>
      </c>
      <c r="D9" s="22"/>
      <c r="E9" s="23"/>
      <c r="F9" s="173" t="s">
        <v>75</v>
      </c>
      <c r="G9" s="373"/>
      <c r="H9" s="373"/>
    </row>
    <row r="10" spans="1:100" ht="19.95" customHeight="1" x14ac:dyDescent="0.3">
      <c r="C10" s="25" t="s">
        <v>67</v>
      </c>
      <c r="D10" s="56"/>
      <c r="E10" s="23"/>
      <c r="F10" s="173" t="s">
        <v>76</v>
      </c>
      <c r="G10" s="374">
        <f ca="1">TODAY()</f>
        <v>45421</v>
      </c>
      <c r="H10" s="375"/>
      <c r="I10" s="26"/>
      <c r="J10" s="26"/>
      <c r="K10" s="20"/>
      <c r="CJ10" s="6"/>
      <c r="CK10" s="6"/>
      <c r="CL10" s="6"/>
      <c r="CM10" s="6"/>
      <c r="CN10" s="6"/>
    </row>
    <row r="11" spans="1:100" ht="19.95" customHeight="1" x14ac:dyDescent="0.3">
      <c r="C11" s="25" t="s">
        <v>69</v>
      </c>
      <c r="D11" s="56"/>
      <c r="E11" s="23"/>
      <c r="F11" s="172" t="s">
        <v>77</v>
      </c>
      <c r="G11" s="376"/>
      <c r="H11" s="376"/>
      <c r="I11" s="26"/>
      <c r="J11" s="26"/>
      <c r="K11" s="20"/>
    </row>
    <row r="12" spans="1:100" ht="19.95" customHeight="1" x14ac:dyDescent="0.3">
      <c r="C12" s="25" t="s">
        <v>68</v>
      </c>
      <c r="D12" s="185"/>
      <c r="E12" s="23"/>
      <c r="F12" s="28"/>
      <c r="G12" s="29"/>
      <c r="H12" s="30"/>
      <c r="I12" s="30"/>
      <c r="J12" s="32"/>
      <c r="K12" s="20"/>
    </row>
    <row r="13" spans="1:100" ht="19.95" customHeight="1" x14ac:dyDescent="0.3">
      <c r="C13" s="27" t="s">
        <v>70</v>
      </c>
      <c r="D13" s="186"/>
      <c r="E13" s="23"/>
      <c r="F13" s="28"/>
      <c r="G13" s="29"/>
      <c r="H13" s="31"/>
      <c r="I13" s="31"/>
      <c r="J13" s="31"/>
      <c r="K13" s="20"/>
    </row>
    <row r="14" spans="1:100" ht="19.95" customHeight="1" x14ac:dyDescent="0.3">
      <c r="C14" s="28"/>
      <c r="D14" s="32"/>
      <c r="E14" s="32"/>
      <c r="F14" s="21" t="s">
        <v>78</v>
      </c>
      <c r="G14" s="404"/>
      <c r="H14" s="405"/>
      <c r="I14" s="31"/>
      <c r="J14"/>
      <c r="K14" s="20"/>
    </row>
    <row r="15" spans="1:100" ht="19.95" customHeight="1" x14ac:dyDescent="0.3">
      <c r="C15" s="21" t="s">
        <v>71</v>
      </c>
      <c r="D15" s="107"/>
      <c r="E15" s="33"/>
      <c r="F15" s="25" t="s">
        <v>79</v>
      </c>
      <c r="G15" s="418"/>
      <c r="H15" s="419"/>
      <c r="I15" s="31"/>
      <c r="J15" s="31"/>
      <c r="K15" s="20"/>
    </row>
    <row r="16" spans="1:100" ht="19.95" customHeight="1" x14ac:dyDescent="0.3">
      <c r="C16" s="25" t="s">
        <v>72</v>
      </c>
      <c r="D16" s="187"/>
      <c r="E16" s="33"/>
      <c r="F16" s="25" t="s">
        <v>80</v>
      </c>
      <c r="G16" s="418"/>
      <c r="H16" s="419"/>
      <c r="I16" s="31"/>
      <c r="J16" s="31"/>
      <c r="K16" s="20"/>
    </row>
    <row r="17" spans="3:20" ht="19.95" customHeight="1" x14ac:dyDescent="0.3">
      <c r="C17" s="25" t="s">
        <v>73</v>
      </c>
      <c r="D17" s="108"/>
      <c r="E17" s="32"/>
      <c r="F17" s="51" t="s">
        <v>81</v>
      </c>
      <c r="G17" s="420"/>
      <c r="H17" s="419"/>
      <c r="I17" s="31"/>
      <c r="J17" s="31"/>
      <c r="K17" s="20"/>
    </row>
    <row r="18" spans="3:20" ht="19.95" customHeight="1" x14ac:dyDescent="0.3">
      <c r="C18" s="421" t="s">
        <v>74</v>
      </c>
      <c r="D18" s="424"/>
      <c r="E18" s="55"/>
      <c r="F18" s="54" t="s">
        <v>82</v>
      </c>
      <c r="G18" s="418"/>
      <c r="H18" s="419"/>
      <c r="I18" s="53"/>
      <c r="J18" s="31"/>
      <c r="K18" s="20"/>
    </row>
    <row r="19" spans="3:20" ht="19.95" customHeight="1" x14ac:dyDescent="0.3">
      <c r="C19" s="422"/>
      <c r="D19" s="425"/>
      <c r="E19" s="34"/>
      <c r="F19" s="50" t="s">
        <v>215</v>
      </c>
      <c r="G19" s="429"/>
      <c r="H19" s="430"/>
      <c r="I19" s="31"/>
      <c r="J19" s="31"/>
      <c r="K19" s="20"/>
    </row>
    <row r="20" spans="3:20" ht="16.2" customHeight="1" x14ac:dyDescent="0.3">
      <c r="C20" s="422"/>
      <c r="D20" s="425"/>
      <c r="E20" s="35"/>
      <c r="I20" s="31"/>
      <c r="J20" s="31"/>
      <c r="K20" s="20"/>
    </row>
    <row r="21" spans="3:20" ht="45" customHeight="1" x14ac:dyDescent="0.3">
      <c r="C21" s="423"/>
      <c r="D21" s="426"/>
      <c r="E21" s="32"/>
      <c r="F21" s="52" t="s">
        <v>127</v>
      </c>
      <c r="G21" s="427">
        <f>IF(J71="AUTO FAIL", "0%",T72)</f>
        <v>1</v>
      </c>
      <c r="H21" s="428"/>
      <c r="I21" s="437" t="str">
        <f>IF(SUM(J27:J70)&lt;70%,"FAIL!","PASS!")</f>
        <v>PASS!</v>
      </c>
      <c r="J21" s="438"/>
      <c r="K21" s="20"/>
    </row>
    <row r="22" spans="3:20" x14ac:dyDescent="0.3">
      <c r="C22" s="19"/>
      <c r="D22" s="19"/>
      <c r="E22" s="19"/>
      <c r="F22" s="19"/>
      <c r="G22" s="19"/>
      <c r="H22" s="19"/>
      <c r="I22" s="19"/>
      <c r="J22" s="19"/>
      <c r="K22" s="20"/>
    </row>
    <row r="23" spans="3:20" x14ac:dyDescent="0.3">
      <c r="C23" s="19"/>
      <c r="D23" s="19"/>
      <c r="E23" s="19"/>
      <c r="F23" s="19"/>
      <c r="G23" s="19"/>
      <c r="H23" s="19"/>
      <c r="I23" s="19"/>
      <c r="J23" s="19"/>
      <c r="K23" s="20"/>
    </row>
    <row r="24" spans="3:20" ht="14.4" collapsed="1" thickBot="1" x14ac:dyDescent="0.35">
      <c r="C24" s="36"/>
      <c r="D24" s="37"/>
      <c r="E24" s="38"/>
      <c r="F24" s="37"/>
      <c r="G24" s="38"/>
      <c r="H24" s="38"/>
      <c r="I24" s="38"/>
      <c r="J24" s="38"/>
    </row>
    <row r="25" spans="3:20" ht="14.4" thickBot="1" x14ac:dyDescent="0.35">
      <c r="C25" s="409"/>
      <c r="D25" s="410"/>
      <c r="E25" s="410"/>
      <c r="F25" s="410"/>
      <c r="G25" s="410"/>
      <c r="H25" s="410"/>
      <c r="I25" s="410"/>
      <c r="J25" s="411"/>
    </row>
    <row r="26" spans="3:20" ht="15" customHeight="1" x14ac:dyDescent="0.3">
      <c r="C26" s="325" t="s">
        <v>128</v>
      </c>
      <c r="D26" s="326"/>
      <c r="E26" s="39" t="s">
        <v>298</v>
      </c>
      <c r="F26" s="141" t="s">
        <v>129</v>
      </c>
      <c r="G26" s="377" t="s">
        <v>130</v>
      </c>
      <c r="H26" s="378"/>
      <c r="I26" s="379"/>
      <c r="J26" s="142" t="s">
        <v>131</v>
      </c>
      <c r="O26" s="238" t="s">
        <v>132</v>
      </c>
      <c r="P26" s="238"/>
      <c r="Q26" s="41" t="s">
        <v>131</v>
      </c>
      <c r="R26" s="41" t="s">
        <v>133</v>
      </c>
      <c r="S26" s="41" t="s">
        <v>134</v>
      </c>
      <c r="T26" s="41" t="s">
        <v>45</v>
      </c>
    </row>
    <row r="27" spans="3:20" ht="22.2" customHeight="1" x14ac:dyDescent="0.3">
      <c r="C27" s="320" t="s">
        <v>48</v>
      </c>
      <c r="D27" s="258" t="s">
        <v>54</v>
      </c>
      <c r="E27" s="261" t="str">
        <f>IF(COUNTIF(F27:F29,TRUE)&gt;=1,"Not Met","Met")</f>
        <v>Met</v>
      </c>
      <c r="F27" s="392"/>
      <c r="G27" s="380"/>
      <c r="H27" s="381"/>
      <c r="I27" s="381"/>
      <c r="J27" s="266">
        <f>IF(J71="AUTO FAIL", "0%",S27)</f>
        <v>0.1</v>
      </c>
      <c r="O27" s="275" t="s">
        <v>48</v>
      </c>
      <c r="P27" s="267" t="s">
        <v>54</v>
      </c>
      <c r="Q27" s="256">
        <v>0.1</v>
      </c>
      <c r="R27" s="256" cm="1">
        <f t="array" ref="R27">IF(COUNTIF(F27:F29,FALSE)&gt;2,0,IF(F27=TRUE,0.1,IF(OR(F28:F29=TRUE,F27=FALSE),0.05*COUNTIF(F28:F29,TRUE))))</f>
        <v>0</v>
      </c>
      <c r="S27" s="256">
        <f>(Q27-R27)</f>
        <v>0.1</v>
      </c>
      <c r="T27" s="256">
        <f>SUM(S27:S37)</f>
        <v>0.25</v>
      </c>
    </row>
    <row r="28" spans="3:20" ht="22.2" customHeight="1" x14ac:dyDescent="0.3">
      <c r="C28" s="321"/>
      <c r="D28" s="269"/>
      <c r="E28" s="262"/>
      <c r="F28" s="393"/>
      <c r="G28" s="382"/>
      <c r="H28" s="383"/>
      <c r="I28" s="383"/>
      <c r="J28" s="266"/>
      <c r="M28" s="111">
        <f>IF(COUNTIF(F27:F29,FALSE)&gt;2,0,IF(OR(F28=TRUE,F27=FALSE),0.75,IF(OR(F29=TRUE, F27=FALSE),0.75,0.15)))</f>
        <v>0.75</v>
      </c>
      <c r="O28" s="276"/>
      <c r="P28" s="267"/>
      <c r="Q28" s="257"/>
      <c r="R28" s="257"/>
      <c r="S28" s="257"/>
      <c r="T28" s="257"/>
    </row>
    <row r="29" spans="3:20" ht="33.75" customHeight="1" x14ac:dyDescent="0.3">
      <c r="C29" s="321"/>
      <c r="D29" s="260"/>
      <c r="E29" s="263"/>
      <c r="F29" s="394"/>
      <c r="G29" s="384"/>
      <c r="H29" s="385"/>
      <c r="I29" s="385"/>
      <c r="J29" s="387"/>
      <c r="O29" s="276"/>
      <c r="P29" s="267"/>
      <c r="Q29" s="268"/>
      <c r="R29" s="268"/>
      <c r="S29" s="268"/>
      <c r="T29" s="257"/>
    </row>
    <row r="30" spans="3:20" ht="22.2" customHeight="1" x14ac:dyDescent="0.3">
      <c r="C30" s="321"/>
      <c r="D30" s="258" t="s">
        <v>55</v>
      </c>
      <c r="E30" s="261" t="str">
        <f>IF(COUNTIF(F30:F34,TRUE)&gt;=1,"Not Met","Met")</f>
        <v>Met</v>
      </c>
      <c r="F30" s="184"/>
      <c r="G30" s="380"/>
      <c r="H30" s="381"/>
      <c r="I30" s="381"/>
      <c r="J30" s="266">
        <f>IF(J71="AUTO FAIL", "0%",SUM(S30:S34))</f>
        <v>0.1</v>
      </c>
      <c r="O30" s="276"/>
      <c r="P30" s="267" t="s">
        <v>55</v>
      </c>
      <c r="Q30" s="256">
        <v>0.1</v>
      </c>
      <c r="R30" s="145" cm="1">
        <f t="array" ref="R30:R32">IF(OR(F30:F32=TRUE),$Q$30,IF(F30:F32=FALSE,0,""))</f>
        <v>0</v>
      </c>
      <c r="S30" s="256">
        <f>(Q30-R30)</f>
        <v>0.1</v>
      </c>
      <c r="T30" s="257"/>
    </row>
    <row r="31" spans="3:20" ht="22.2" customHeight="1" x14ac:dyDescent="0.3">
      <c r="C31" s="321"/>
      <c r="D31" s="259"/>
      <c r="E31" s="262"/>
      <c r="F31" s="61"/>
      <c r="G31" s="382"/>
      <c r="H31" s="383"/>
      <c r="I31" s="383"/>
      <c r="J31" s="387"/>
      <c r="O31" s="276"/>
      <c r="P31" s="267"/>
      <c r="Q31" s="257"/>
      <c r="R31" s="146">
        <v>0</v>
      </c>
      <c r="S31" s="257"/>
      <c r="T31" s="257"/>
    </row>
    <row r="32" spans="3:20" ht="22.2" customHeight="1" x14ac:dyDescent="0.3">
      <c r="C32" s="321"/>
      <c r="D32" s="259"/>
      <c r="E32" s="262"/>
      <c r="F32" s="61"/>
      <c r="G32" s="382"/>
      <c r="H32" s="383"/>
      <c r="I32" s="383"/>
      <c r="J32" s="387"/>
      <c r="O32" s="276"/>
      <c r="P32" s="267"/>
      <c r="Q32" s="257"/>
      <c r="R32" s="147">
        <v>0</v>
      </c>
      <c r="S32" s="268"/>
      <c r="T32" s="257"/>
    </row>
    <row r="33" spans="3:22" ht="22.2" customHeight="1" x14ac:dyDescent="0.3">
      <c r="C33" s="321"/>
      <c r="D33" s="259"/>
      <c r="E33" s="262"/>
      <c r="F33" s="61"/>
      <c r="G33" s="382"/>
      <c r="H33" s="383"/>
      <c r="I33" s="383"/>
      <c r="J33" s="387"/>
      <c r="O33" s="276"/>
      <c r="P33" s="267"/>
      <c r="Q33" s="257"/>
      <c r="R33" s="148">
        <f>IF(F33=TRUE,(-$S$30/2),IF(F33=FALSE,0,""))</f>
        <v>0</v>
      </c>
      <c r="S33" s="256">
        <f>SUM(R33:R34)</f>
        <v>0</v>
      </c>
      <c r="T33" s="257"/>
    </row>
    <row r="34" spans="3:22" ht="22.2" customHeight="1" x14ac:dyDescent="0.3">
      <c r="C34" s="321"/>
      <c r="D34" s="260"/>
      <c r="E34" s="263"/>
      <c r="F34" s="62"/>
      <c r="G34" s="384"/>
      <c r="H34" s="385"/>
      <c r="I34" s="385"/>
      <c r="J34" s="387"/>
      <c r="O34" s="276"/>
      <c r="P34" s="267"/>
      <c r="Q34" s="268"/>
      <c r="R34" s="148">
        <f>IF(F34=TRUE,(-$S$30/2),IF(F34=FALSE,0,""))</f>
        <v>0</v>
      </c>
      <c r="S34" s="268"/>
      <c r="T34" s="257"/>
    </row>
    <row r="35" spans="3:22" ht="22.2" customHeight="1" x14ac:dyDescent="0.3">
      <c r="C35" s="321"/>
      <c r="D35" s="258" t="s">
        <v>56</v>
      </c>
      <c r="E35" s="261" t="str">
        <f>IF(COUNTIF(F35:F37,TRUE)&gt;=1,"Not Met","Met")</f>
        <v>Met</v>
      </c>
      <c r="F35" s="184"/>
      <c r="G35" s="380"/>
      <c r="H35" s="381"/>
      <c r="I35" s="381"/>
      <c r="J35" s="266">
        <f>IF(J71="AUTO FAIL", "0%",S35)</f>
        <v>0.05</v>
      </c>
      <c r="O35" s="276"/>
      <c r="P35" s="267" t="s">
        <v>56</v>
      </c>
      <c r="Q35" s="256">
        <v>0.05</v>
      </c>
      <c r="R35" s="277" t="b" cm="1">
        <f t="array" ref="R35">IF(COUNTIF(F35:F37,FALSE)&gt;2,0,IF(AND(F27=FALSE,F35=TRUE),0.05,IF(AND(F27=FALSE,F36=TRUE),0.05,IF(AND(F27=FALSE,F37=TRUE),0.05,IF(OR(F27=TRUE,F35:F37=TRUE),0.0333*COUNTIF(F35:F37,TRUE))))))</f>
        <v>0</v>
      </c>
      <c r="S35" s="256">
        <f>(Q35-(SUM($R$35:$R$37)))</f>
        <v>0.05</v>
      </c>
      <c r="T35" s="257"/>
    </row>
    <row r="36" spans="3:22" ht="22.2" customHeight="1" x14ac:dyDescent="0.3">
      <c r="C36" s="321"/>
      <c r="D36" s="259"/>
      <c r="E36" s="262"/>
      <c r="F36" s="61"/>
      <c r="G36" s="382"/>
      <c r="H36" s="383"/>
      <c r="I36" s="383"/>
      <c r="J36" s="387"/>
      <c r="O36" s="276"/>
      <c r="P36" s="267"/>
      <c r="Q36" s="257"/>
      <c r="R36" s="278"/>
      <c r="S36" s="257"/>
      <c r="T36" s="257"/>
    </row>
    <row r="37" spans="3:22" ht="22.2" customHeight="1" x14ac:dyDescent="0.3">
      <c r="C37" s="321"/>
      <c r="D37" s="259"/>
      <c r="E37" s="262"/>
      <c r="F37" s="61"/>
      <c r="G37" s="382"/>
      <c r="H37" s="383"/>
      <c r="I37" s="383"/>
      <c r="J37" s="387"/>
      <c r="O37" s="276"/>
      <c r="P37" s="267"/>
      <c r="Q37" s="257"/>
      <c r="R37" s="279"/>
      <c r="S37" s="257"/>
      <c r="T37" s="257"/>
    </row>
    <row r="38" spans="3:22" ht="24" customHeight="1" x14ac:dyDescent="0.3">
      <c r="C38" s="197" t="s">
        <v>49</v>
      </c>
      <c r="D38" s="258" t="s">
        <v>293</v>
      </c>
      <c r="E38" s="261" t="str">
        <f>IF(COUNTIF(F38:F45,TRUE)&gt;=1,"Not Met","Met")</f>
        <v>Met</v>
      </c>
      <c r="F38" s="184"/>
      <c r="G38" s="380"/>
      <c r="H38" s="381"/>
      <c r="I38" s="381"/>
      <c r="J38" s="266">
        <f>IF(J71="AUTO FAIL", "0%",S38)</f>
        <v>0.05</v>
      </c>
      <c r="O38" s="194" t="s">
        <v>49</v>
      </c>
      <c r="P38" s="258" t="s">
        <v>293</v>
      </c>
      <c r="Q38" s="256">
        <v>0.05</v>
      </c>
      <c r="R38" s="256" cm="1">
        <f t="array" ref="R38">IF(COUNTBLANK(F38:F45)&gt;7,0,
IF(AND(F38:F43=TRUE, F44:F45=FALSE),(0.0166667*COUNTIF(F38:F43,TRUE)),
                    IF(AND(F38:F43=FALSE, F44=TRUE),0.05,
                         IF(AND(F38:F43=FALSE, F45=TRUE),0.05,
                             IF(OR(F38:F43=TRUE), IF(OR(F44:F45=TRUE),0.05+(COUNTIF(F38:F43,TRUE) *0.008333),(0.0166667*COUNTIF(F38:F43,TRUE))),)
)
                         )
               )
      )</f>
        <v>0</v>
      </c>
      <c r="S38" s="256">
        <f>(Q38-R38)</f>
        <v>0.05</v>
      </c>
      <c r="T38" s="256">
        <f>SUM(S38:S47)</f>
        <v>0.1</v>
      </c>
    </row>
    <row r="39" spans="3:22" ht="21.75" customHeight="1" x14ac:dyDescent="0.3">
      <c r="C39" s="198"/>
      <c r="D39" s="269"/>
      <c r="E39" s="262"/>
      <c r="F39" s="61"/>
      <c r="G39" s="382"/>
      <c r="H39" s="383"/>
      <c r="I39" s="383"/>
      <c r="J39" s="387"/>
      <c r="L39" s="71"/>
      <c r="O39" s="195"/>
      <c r="P39" s="269"/>
      <c r="Q39" s="257"/>
      <c r="R39" s="257"/>
      <c r="S39" s="257"/>
      <c r="T39" s="257"/>
    </row>
    <row r="40" spans="3:22" ht="26.25" customHeight="1" x14ac:dyDescent="0.3">
      <c r="C40" s="198"/>
      <c r="D40" s="269"/>
      <c r="E40" s="262"/>
      <c r="F40" s="61"/>
      <c r="G40" s="382"/>
      <c r="H40" s="383"/>
      <c r="I40" s="383"/>
      <c r="J40" s="387"/>
      <c r="O40" s="195"/>
      <c r="P40" s="269"/>
      <c r="Q40" s="257"/>
      <c r="R40" s="257"/>
      <c r="S40" s="257"/>
      <c r="T40" s="257"/>
    </row>
    <row r="41" spans="3:22" ht="24" customHeight="1" x14ac:dyDescent="0.3">
      <c r="C41" s="198"/>
      <c r="D41" s="269"/>
      <c r="E41" s="262"/>
      <c r="F41" s="61"/>
      <c r="G41" s="382"/>
      <c r="H41" s="383"/>
      <c r="I41" s="383"/>
      <c r="J41" s="387"/>
      <c r="O41" s="195"/>
      <c r="P41" s="269"/>
      <c r="Q41" s="257"/>
      <c r="R41" s="257"/>
      <c r="S41" s="257"/>
      <c r="T41" s="257"/>
      <c r="V41" s="112">
        <f>COUNTIF($F$28:$F$29,TRUE)</f>
        <v>0</v>
      </c>
    </row>
    <row r="42" spans="3:22" ht="24" customHeight="1" x14ac:dyDescent="0.3">
      <c r="C42" s="198"/>
      <c r="D42" s="269"/>
      <c r="E42" s="262"/>
      <c r="F42" s="61"/>
      <c r="G42" s="382"/>
      <c r="H42" s="383"/>
      <c r="I42" s="383"/>
      <c r="J42" s="387"/>
      <c r="O42" s="195"/>
      <c r="P42" s="269"/>
      <c r="Q42" s="257"/>
      <c r="R42" s="257"/>
      <c r="S42" s="257"/>
      <c r="T42" s="257"/>
    </row>
    <row r="43" spans="3:22" ht="24" customHeight="1" x14ac:dyDescent="0.3">
      <c r="C43" s="198"/>
      <c r="D43" s="269"/>
      <c r="E43" s="262"/>
      <c r="F43" s="61"/>
      <c r="G43" s="382"/>
      <c r="H43" s="383"/>
      <c r="I43" s="383"/>
      <c r="J43" s="387"/>
      <c r="O43" s="195"/>
      <c r="P43" s="269"/>
      <c r="Q43" s="257"/>
      <c r="R43" s="257"/>
      <c r="S43" s="257"/>
      <c r="T43" s="257"/>
    </row>
    <row r="44" spans="3:22" ht="24" customHeight="1" x14ac:dyDescent="0.3">
      <c r="C44" s="198"/>
      <c r="D44" s="269"/>
      <c r="E44" s="262"/>
      <c r="F44" s="61"/>
      <c r="G44" s="382"/>
      <c r="H44" s="383"/>
      <c r="I44" s="383"/>
      <c r="J44" s="387"/>
      <c r="O44" s="195"/>
      <c r="P44" s="269"/>
      <c r="Q44" s="257"/>
      <c r="R44" s="257"/>
      <c r="S44" s="257"/>
      <c r="T44" s="257"/>
    </row>
    <row r="45" spans="3:22" ht="24" customHeight="1" x14ac:dyDescent="0.3">
      <c r="C45" s="198"/>
      <c r="D45" s="270"/>
      <c r="E45" s="263"/>
      <c r="F45" s="62"/>
      <c r="G45" s="384"/>
      <c r="H45" s="385"/>
      <c r="I45" s="385"/>
      <c r="J45" s="387"/>
      <c r="O45" s="195"/>
      <c r="P45" s="270"/>
      <c r="Q45" s="268"/>
      <c r="R45" s="268"/>
      <c r="S45" s="268"/>
      <c r="T45" s="257"/>
    </row>
    <row r="46" spans="3:22" ht="39" customHeight="1" x14ac:dyDescent="0.3">
      <c r="C46" s="198"/>
      <c r="D46" s="258" t="s">
        <v>58</v>
      </c>
      <c r="E46" s="330" t="str">
        <f>IF(COUNTIF(F46:F49,TRUE)&gt;=1,"Not Met","Met")</f>
        <v>Met</v>
      </c>
      <c r="F46" s="61"/>
      <c r="G46" s="299"/>
      <c r="H46" s="300"/>
      <c r="I46" s="301"/>
      <c r="J46" s="285">
        <f>IF(J71="AUTO FAIL", "0%",S46)</f>
        <v>0.05</v>
      </c>
      <c r="O46" s="195"/>
      <c r="P46" s="280" t="s">
        <v>58</v>
      </c>
      <c r="Q46" s="256">
        <v>0.05</v>
      </c>
      <c r="R46" s="256" t="b">
        <f>IF(COUNTIF(F46:F49,FALSE)&gt;1,0,IF(OR(F46=TRUE,F49=TRUE),0.025*COUNTIF(F46:F49,TRUE)))</f>
        <v>0</v>
      </c>
      <c r="S46" s="256">
        <f>(Q46-(SUM($R$46:$R$47)))</f>
        <v>0.05</v>
      </c>
      <c r="T46" s="88"/>
    </row>
    <row r="47" spans="3:22" ht="27" customHeight="1" x14ac:dyDescent="0.3">
      <c r="C47" s="198"/>
      <c r="D47" s="269"/>
      <c r="E47" s="332"/>
      <c r="F47" s="434"/>
      <c r="G47" s="366"/>
      <c r="H47" s="367"/>
      <c r="I47" s="368"/>
      <c r="J47" s="273"/>
      <c r="O47" s="196"/>
      <c r="P47" s="260"/>
      <c r="Q47" s="268"/>
      <c r="R47" s="268"/>
      <c r="S47" s="268"/>
      <c r="T47" s="89"/>
    </row>
    <row r="48" spans="3:22" ht="22.95" customHeight="1" x14ac:dyDescent="0.3">
      <c r="C48" s="198"/>
      <c r="D48" s="269"/>
      <c r="E48" s="332"/>
      <c r="F48" s="435"/>
      <c r="G48" s="366"/>
      <c r="H48" s="367"/>
      <c r="I48" s="368"/>
      <c r="J48" s="415"/>
      <c r="O48" s="194" t="s">
        <v>50</v>
      </c>
      <c r="P48" s="128" t="s">
        <v>299</v>
      </c>
      <c r="Q48" s="87">
        <v>0.05</v>
      </c>
      <c r="R48" s="87">
        <f>IF(F50=TRUE,$Q$48,IF(F50=FALSE,0,""))</f>
        <v>0</v>
      </c>
      <c r="S48" s="87">
        <f>(Q48-R48)</f>
        <v>0.05</v>
      </c>
      <c r="T48" s="256">
        <f>SUM(S48:S54)</f>
        <v>0.2</v>
      </c>
    </row>
    <row r="49" spans="3:28" ht="22.95" customHeight="1" x14ac:dyDescent="0.3">
      <c r="C49" s="239"/>
      <c r="D49" s="270"/>
      <c r="E49" s="331"/>
      <c r="F49" s="436" t="b">
        <v>0</v>
      </c>
      <c r="G49" s="431"/>
      <c r="H49" s="432"/>
      <c r="I49" s="433"/>
      <c r="J49" s="286"/>
      <c r="O49" s="195"/>
      <c r="P49" s="161" t="s">
        <v>300</v>
      </c>
      <c r="Q49" s="163">
        <v>0.05</v>
      </c>
      <c r="R49" s="87">
        <f>IF(F51=TRUE,$Q$49,IF(F51=FALSE,0,""))</f>
        <v>0</v>
      </c>
      <c r="S49" s="164">
        <f>(Q49-R49)</f>
        <v>0.05</v>
      </c>
      <c r="T49" s="257"/>
    </row>
    <row r="50" spans="3:28" ht="30" customHeight="1" x14ac:dyDescent="0.3">
      <c r="C50" s="197" t="s">
        <v>50</v>
      </c>
      <c r="D50" s="128" t="s">
        <v>299</v>
      </c>
      <c r="E50" s="130" t="str">
        <f t="shared" ref="E50:E54" si="0">IF(COUNTIF(F50,TRUE)&gt;=1,"Not Met","Met")</f>
        <v>Met</v>
      </c>
      <c r="F50" s="62"/>
      <c r="G50" s="299"/>
      <c r="H50" s="300"/>
      <c r="I50" s="301"/>
      <c r="J50" s="132">
        <f>IF(J71="AUTO FAIL", "0%",S48)</f>
        <v>0.05</v>
      </c>
      <c r="O50" s="195"/>
      <c r="P50" s="162" t="s">
        <v>301</v>
      </c>
      <c r="Q50" s="256">
        <v>0.1</v>
      </c>
      <c r="R50" s="87" cm="1">
        <f t="array" ref="R50:R54">IF(OR(F52:F56=TRUE),Q50,IF(F52:F56=FALSE,0,""))</f>
        <v>0</v>
      </c>
      <c r="S50" s="257">
        <f>(Q50-R50)</f>
        <v>0.1</v>
      </c>
      <c r="T50" s="257"/>
    </row>
    <row r="51" spans="3:28" ht="30" customHeight="1" x14ac:dyDescent="0.3">
      <c r="C51" s="198"/>
      <c r="D51" s="161" t="s">
        <v>300</v>
      </c>
      <c r="E51" s="159" t="str">
        <f t="shared" si="0"/>
        <v>Met</v>
      </c>
      <c r="F51" s="63"/>
      <c r="G51" s="403"/>
      <c r="H51" s="403"/>
      <c r="I51" s="403"/>
      <c r="J51" s="132">
        <f>IF(J71="AUTO FAIL", "0%",S49)</f>
        <v>0.05</v>
      </c>
      <c r="O51" s="195"/>
      <c r="P51" s="128" t="s">
        <v>61</v>
      </c>
      <c r="Q51" s="257"/>
      <c r="R51" s="87">
        <v>0</v>
      </c>
      <c r="S51" s="257"/>
      <c r="T51" s="257"/>
      <c r="W51" s="416"/>
      <c r="X51" s="417"/>
      <c r="Y51" s="417"/>
      <c r="Z51" s="417"/>
      <c r="AA51" s="417"/>
      <c r="AB51" s="417"/>
    </row>
    <row r="52" spans="3:28" ht="30" customHeight="1" x14ac:dyDescent="0.3">
      <c r="C52" s="198"/>
      <c r="D52" s="162" t="s">
        <v>301</v>
      </c>
      <c r="E52" s="64" t="str">
        <f t="shared" si="0"/>
        <v>Met</v>
      </c>
      <c r="F52" s="62"/>
      <c r="G52" s="380"/>
      <c r="H52" s="381"/>
      <c r="I52" s="412"/>
      <c r="J52" s="266">
        <f>IF(J71="AUTO FAIL", "0%",S50)</f>
        <v>0.1</v>
      </c>
      <c r="O52" s="195"/>
      <c r="P52" s="131" t="s">
        <v>62</v>
      </c>
      <c r="Q52" s="257"/>
      <c r="R52" s="87">
        <v>0</v>
      </c>
      <c r="S52" s="257"/>
      <c r="T52" s="257"/>
      <c r="W52" s="417"/>
      <c r="X52" s="417"/>
      <c r="Y52" s="417"/>
      <c r="Z52" s="417"/>
      <c r="AA52" s="417"/>
      <c r="AB52" s="417"/>
    </row>
    <row r="53" spans="3:28" ht="30" customHeight="1" x14ac:dyDescent="0.3">
      <c r="C53" s="198"/>
      <c r="D53" s="128" t="s">
        <v>61</v>
      </c>
      <c r="E53" s="130" t="str">
        <f t="shared" si="0"/>
        <v>Met</v>
      </c>
      <c r="F53" s="62"/>
      <c r="G53" s="382"/>
      <c r="H53" s="383"/>
      <c r="I53" s="413"/>
      <c r="J53" s="266"/>
      <c r="O53" s="195"/>
      <c r="P53" s="131" t="s">
        <v>63</v>
      </c>
      <c r="Q53" s="257"/>
      <c r="R53" s="87">
        <v>0</v>
      </c>
      <c r="S53" s="257"/>
      <c r="T53" s="257"/>
      <c r="W53" s="417"/>
      <c r="X53" s="417"/>
      <c r="Y53" s="417"/>
      <c r="Z53" s="417"/>
      <c r="AA53" s="417"/>
      <c r="AB53" s="417"/>
    </row>
    <row r="54" spans="3:28" ht="30" customHeight="1" x14ac:dyDescent="0.3">
      <c r="C54" s="198"/>
      <c r="D54" s="131" t="s">
        <v>62</v>
      </c>
      <c r="E54" s="64" t="str">
        <f t="shared" si="0"/>
        <v>Met</v>
      </c>
      <c r="F54" s="63"/>
      <c r="G54" s="382"/>
      <c r="H54" s="383"/>
      <c r="I54" s="413"/>
      <c r="J54" s="266"/>
      <c r="O54" s="196"/>
      <c r="P54" s="131" t="s">
        <v>64</v>
      </c>
      <c r="Q54" s="268"/>
      <c r="R54" s="87">
        <v>0</v>
      </c>
      <c r="S54" s="268"/>
      <c r="T54" s="268"/>
      <c r="W54" s="417"/>
      <c r="X54" s="417"/>
      <c r="Y54" s="417"/>
      <c r="Z54" s="417"/>
      <c r="AA54" s="417"/>
      <c r="AB54" s="417"/>
    </row>
    <row r="55" spans="3:28" ht="30" customHeight="1" x14ac:dyDescent="0.3">
      <c r="C55" s="198"/>
      <c r="D55" s="131" t="s">
        <v>302</v>
      </c>
      <c r="E55" s="64" t="str">
        <f>IF(COUNTIF(F55,TRUE)&gt;=1,"Not Met","Met")</f>
        <v>Met</v>
      </c>
      <c r="F55" s="63"/>
      <c r="G55" s="382"/>
      <c r="H55" s="383"/>
      <c r="I55" s="413"/>
      <c r="J55" s="266"/>
      <c r="W55" s="417"/>
      <c r="X55" s="417"/>
      <c r="Y55" s="417"/>
      <c r="Z55" s="417"/>
      <c r="AA55" s="417"/>
      <c r="AB55" s="417"/>
    </row>
    <row r="56" spans="3:28" ht="30" customHeight="1" x14ac:dyDescent="0.3">
      <c r="C56" s="239"/>
      <c r="D56" s="131" t="s">
        <v>64</v>
      </c>
      <c r="E56" s="64" t="str">
        <f>IF(COUNTIF(F56,TRUE)&gt;=1,"Not Met","Met")</f>
        <v>Met</v>
      </c>
      <c r="F56" s="63"/>
      <c r="G56" s="384"/>
      <c r="H56" s="385"/>
      <c r="I56" s="414"/>
      <c r="J56" s="266"/>
    </row>
    <row r="57" spans="3:28" ht="22.2" customHeight="1" x14ac:dyDescent="0.3">
      <c r="C57" s="386" t="s">
        <v>9</v>
      </c>
      <c r="D57" s="369" t="s">
        <v>303</v>
      </c>
      <c r="E57" s="388" t="str">
        <f>IF(COUNTIF(F57:F59,TRUE)&gt;=1,"Not Met","Met")</f>
        <v>Met</v>
      </c>
      <c r="F57" s="169"/>
      <c r="G57" s="308"/>
      <c r="H57" s="309"/>
      <c r="I57" s="310"/>
      <c r="J57" s="398">
        <f>IF(J71="AUTO FAIL", "0%",S57)</f>
        <v>0.1</v>
      </c>
      <c r="O57" s="399" t="s">
        <v>9</v>
      </c>
      <c r="P57" s="369" t="s">
        <v>303</v>
      </c>
      <c r="Q57" s="143">
        <v>0.1</v>
      </c>
      <c r="R57" s="140">
        <f>IF(F57=TRUE,($Q$57/3),IF(F57=FALSE,0,""))</f>
        <v>0</v>
      </c>
      <c r="S57" s="397">
        <f>(Q57-(SUM(R57:R59)))</f>
        <v>0.1</v>
      </c>
      <c r="T57" s="397">
        <f>SUM(S57:S64)</f>
        <v>0.25</v>
      </c>
    </row>
    <row r="58" spans="3:28" ht="22.2" customHeight="1" x14ac:dyDescent="0.3">
      <c r="C58" s="386"/>
      <c r="D58" s="369"/>
      <c r="E58" s="389"/>
      <c r="F58" s="170"/>
      <c r="G58" s="311"/>
      <c r="H58" s="312"/>
      <c r="I58" s="313"/>
      <c r="J58" s="398"/>
      <c r="O58" s="399"/>
      <c r="P58" s="369"/>
      <c r="Q58" s="143">
        <v>0.1</v>
      </c>
      <c r="R58" s="140">
        <f>IF(F58=TRUE,($Q$58/3),IF(F58=FALSE,0,""))</f>
        <v>0</v>
      </c>
      <c r="S58" s="397"/>
      <c r="T58" s="397"/>
    </row>
    <row r="59" spans="3:28" ht="22.2" customHeight="1" x14ac:dyDescent="0.3">
      <c r="C59" s="386"/>
      <c r="D59" s="369"/>
      <c r="E59" s="390"/>
      <c r="F59" s="171"/>
      <c r="G59" s="314"/>
      <c r="H59" s="315"/>
      <c r="I59" s="316"/>
      <c r="J59" s="398"/>
      <c r="O59" s="399"/>
      <c r="P59" s="369"/>
      <c r="Q59" s="143">
        <v>0.1</v>
      </c>
      <c r="R59" s="140">
        <f>IF(F59=TRUE,($Q$59/3),IF(F59=FALSE,0,""))</f>
        <v>0</v>
      </c>
      <c r="S59" s="397"/>
      <c r="T59" s="397"/>
    </row>
    <row r="60" spans="3:28" ht="22.2" customHeight="1" x14ac:dyDescent="0.3">
      <c r="C60" s="386"/>
      <c r="D60" s="369" t="s">
        <v>16</v>
      </c>
      <c r="E60" s="391" t="str">
        <f>IF(COUNTIF(F60:F61,TRUE)&gt;=1,"Not Met","Met")</f>
        <v>Met</v>
      </c>
      <c r="F60" s="169"/>
      <c r="G60" s="308"/>
      <c r="H60" s="309"/>
      <c r="I60" s="310"/>
      <c r="J60" s="398">
        <f>IF(J71="AUTO FAIL", "0%",S60)</f>
        <v>0.05</v>
      </c>
      <c r="O60" s="399"/>
      <c r="P60" s="369" t="s">
        <v>16</v>
      </c>
      <c r="Q60" s="143">
        <v>0.05</v>
      </c>
      <c r="R60" s="140">
        <f>IF(F60=TRUE,($Q$60/2),IF(F60=FALSE,0,""))</f>
        <v>0</v>
      </c>
      <c r="S60" s="397">
        <f>(Q60-(SUM(R60:R61)))</f>
        <v>0.05</v>
      </c>
      <c r="T60" s="397"/>
    </row>
    <row r="61" spans="3:28" ht="22.2" customHeight="1" x14ac:dyDescent="0.3">
      <c r="C61" s="386"/>
      <c r="D61" s="369"/>
      <c r="E61" s="391"/>
      <c r="F61" s="171"/>
      <c r="G61" s="314"/>
      <c r="H61" s="315"/>
      <c r="I61" s="316"/>
      <c r="J61" s="398"/>
      <c r="O61" s="399"/>
      <c r="P61" s="369"/>
      <c r="Q61" s="143">
        <v>0.05</v>
      </c>
      <c r="R61" s="140">
        <f>IF(F61=TRUE,($Q$61/2),IF(F61=FALSE,0,""))</f>
        <v>0</v>
      </c>
      <c r="S61" s="397"/>
      <c r="T61" s="397"/>
    </row>
    <row r="62" spans="3:28" ht="22.2" customHeight="1" x14ac:dyDescent="0.3">
      <c r="C62" s="386"/>
      <c r="D62" s="369" t="s">
        <v>304</v>
      </c>
      <c r="E62" s="391" t="str">
        <f>IF(COUNTIF(F62:F64,TRUE)&gt;=1,"Not Met","Met")</f>
        <v>Met</v>
      </c>
      <c r="F62" s="169"/>
      <c r="G62" s="308"/>
      <c r="H62" s="309"/>
      <c r="I62" s="310"/>
      <c r="J62" s="398">
        <f>IF(J71="AUTO FAIL", "0%",S62)</f>
        <v>0.1</v>
      </c>
      <c r="O62" s="399"/>
      <c r="P62" s="369" t="s">
        <v>304</v>
      </c>
      <c r="Q62" s="143">
        <v>0.1</v>
      </c>
      <c r="R62" s="140">
        <f>IF(F62=TRUE,($Q$62/3),IF(F62=FALSE,0,""))</f>
        <v>0</v>
      </c>
      <c r="S62" s="397">
        <f>(Q62-(SUM(R62:R64)))</f>
        <v>0.1</v>
      </c>
      <c r="T62" s="397"/>
    </row>
    <row r="63" spans="3:28" ht="22.2" customHeight="1" x14ac:dyDescent="0.3">
      <c r="C63" s="386"/>
      <c r="D63" s="369"/>
      <c r="E63" s="391"/>
      <c r="F63" s="170"/>
      <c r="G63" s="311"/>
      <c r="H63" s="312"/>
      <c r="I63" s="313"/>
      <c r="J63" s="398"/>
      <c r="O63" s="399"/>
      <c r="P63" s="369"/>
      <c r="Q63" s="143">
        <v>0.1</v>
      </c>
      <c r="R63" s="140">
        <f>IF(F63=TRUE,($Q$63/3),IF(F63=FALSE,0,""))</f>
        <v>0</v>
      </c>
      <c r="S63" s="397"/>
      <c r="T63" s="397"/>
    </row>
    <row r="64" spans="3:28" ht="22.2" customHeight="1" x14ac:dyDescent="0.3">
      <c r="C64" s="386"/>
      <c r="D64" s="369"/>
      <c r="E64" s="391"/>
      <c r="F64" s="171"/>
      <c r="G64" s="314"/>
      <c r="H64" s="315"/>
      <c r="I64" s="316"/>
      <c r="J64" s="398"/>
      <c r="O64" s="399"/>
      <c r="P64" s="369"/>
      <c r="Q64" s="143">
        <v>0.1</v>
      </c>
      <c r="R64" s="140">
        <f>IF(F64=TRUE,($Q$64/3),IF(F64=FALSE,0,""))</f>
        <v>0</v>
      </c>
      <c r="S64" s="397"/>
      <c r="T64" s="397"/>
    </row>
    <row r="65" spans="3:31" ht="22.2" customHeight="1" x14ac:dyDescent="0.3">
      <c r="C65" s="197" t="s">
        <v>47</v>
      </c>
      <c r="D65" s="258" t="s">
        <v>52</v>
      </c>
      <c r="E65" s="391" t="str">
        <f>IF(COUNTIF(F65:F66,TRUE)&gt;=1,"Not Met","Met")</f>
        <v>Met</v>
      </c>
      <c r="F65" s="61"/>
      <c r="G65" s="402"/>
      <c r="H65" s="402"/>
      <c r="I65" s="402"/>
      <c r="J65" s="318">
        <f>IF(J71="AUTO FAIL", "0%",S65)</f>
        <v>0.1</v>
      </c>
      <c r="O65" s="274" t="s">
        <v>47</v>
      </c>
      <c r="P65" s="271" t="s">
        <v>52</v>
      </c>
      <c r="Q65" s="256">
        <v>0.1</v>
      </c>
      <c r="R65" s="87" cm="1">
        <f t="array" ref="R65:R66">IF(OR(F65:F66=TRUE),$Q$65,IF(F65:F66=FALSE,0,""))</f>
        <v>0</v>
      </c>
      <c r="S65" s="256">
        <f>Q65-R65</f>
        <v>0.1</v>
      </c>
      <c r="T65" s="256">
        <f>SUM(S65:S70)</f>
        <v>0.2</v>
      </c>
    </row>
    <row r="66" spans="3:31" ht="22.2" customHeight="1" x14ac:dyDescent="0.3">
      <c r="C66" s="198"/>
      <c r="D66" s="269"/>
      <c r="E66" s="391"/>
      <c r="F66" s="61"/>
      <c r="G66" s="403"/>
      <c r="H66" s="403"/>
      <c r="I66" s="403"/>
      <c r="J66" s="318"/>
      <c r="O66" s="274"/>
      <c r="P66" s="271"/>
      <c r="Q66" s="257"/>
      <c r="R66" s="87">
        <v>0</v>
      </c>
      <c r="S66" s="257"/>
      <c r="T66" s="257"/>
    </row>
    <row r="67" spans="3:31" ht="22.2" customHeight="1" x14ac:dyDescent="0.3">
      <c r="C67" s="198"/>
      <c r="D67" s="258" t="s">
        <v>84</v>
      </c>
      <c r="E67" s="391" t="str">
        <f>IF(COUNTIF(F67:F70,TRUE)&gt;=1,"Not Met","Met")</f>
        <v>Met</v>
      </c>
      <c r="F67" s="184"/>
      <c r="G67" s="380"/>
      <c r="H67" s="381"/>
      <c r="I67" s="381"/>
      <c r="J67" s="333">
        <f>IF(J71="AUTO FAIL", "0%",S67 )</f>
        <v>0.1</v>
      </c>
      <c r="O67" s="274"/>
      <c r="P67" s="271" t="s">
        <v>84</v>
      </c>
      <c r="Q67" s="256">
        <v>0.1</v>
      </c>
      <c r="R67" s="87">
        <f>IF(F67=TRUE,($Q$67/4),IF(F67=FALSE,0,""))</f>
        <v>0</v>
      </c>
      <c r="S67" s="256">
        <f>(Q67-(SUM($R$67:$R$70)))</f>
        <v>0.1</v>
      </c>
      <c r="T67" s="257"/>
    </row>
    <row r="68" spans="3:31" ht="22.2" customHeight="1" x14ac:dyDescent="0.3">
      <c r="C68" s="198"/>
      <c r="D68" s="269"/>
      <c r="E68" s="391"/>
      <c r="F68" s="61"/>
      <c r="G68" s="382"/>
      <c r="H68" s="383"/>
      <c r="I68" s="383"/>
      <c r="J68" s="395"/>
      <c r="O68" s="274"/>
      <c r="P68" s="271"/>
      <c r="Q68" s="257"/>
      <c r="R68" s="87">
        <f>IF(F68=TRUE,($Q$67/4),IF(F68=FALSE,0,""))</f>
        <v>0</v>
      </c>
      <c r="S68" s="257"/>
      <c r="T68" s="257"/>
    </row>
    <row r="69" spans="3:31" ht="22.2" customHeight="1" x14ac:dyDescent="0.3">
      <c r="C69" s="198"/>
      <c r="D69" s="269"/>
      <c r="E69" s="391"/>
      <c r="F69" s="61"/>
      <c r="G69" s="382"/>
      <c r="H69" s="383"/>
      <c r="I69" s="383"/>
      <c r="J69" s="395"/>
      <c r="O69" s="274"/>
      <c r="P69" s="271"/>
      <c r="Q69" s="257"/>
      <c r="R69" s="87">
        <f>IF(F69=TRUE,($Q$67/4),IF(F69=FALSE,0,""))</f>
        <v>0</v>
      </c>
      <c r="S69" s="257"/>
      <c r="T69" s="257"/>
      <c r="V69" s="71"/>
      <c r="W69" s="71"/>
      <c r="X69" s="71"/>
      <c r="Y69" s="71"/>
      <c r="Z69" s="71"/>
      <c r="AA69" s="71"/>
      <c r="AB69" s="71"/>
      <c r="AC69" s="71"/>
      <c r="AD69" s="71"/>
      <c r="AE69" s="71"/>
    </row>
    <row r="70" spans="3:31" ht="22.2" customHeight="1" x14ac:dyDescent="0.3">
      <c r="C70" s="239"/>
      <c r="D70" s="270"/>
      <c r="E70" s="391"/>
      <c r="F70" s="62"/>
      <c r="G70" s="384"/>
      <c r="H70" s="385"/>
      <c r="I70" s="385"/>
      <c r="J70" s="396"/>
      <c r="O70" s="274"/>
      <c r="P70" s="271"/>
      <c r="Q70" s="268"/>
      <c r="R70" s="87">
        <f>IF(F70=TRUE,($Q$67/4),IF(F70=FALSE,0,""))</f>
        <v>0</v>
      </c>
      <c r="S70" s="268"/>
      <c r="T70" s="268"/>
    </row>
    <row r="71" spans="3:31" ht="43.5" customHeight="1" thickBot="1" x14ac:dyDescent="0.35">
      <c r="C71" s="59" t="s">
        <v>135</v>
      </c>
      <c r="D71" s="42" t="s">
        <v>51</v>
      </c>
      <c r="E71" s="65" t="str">
        <f>IF(COUNTIF(F71,TRUE)&gt;=1,"Not Met","Met")</f>
        <v>Met</v>
      </c>
      <c r="F71" s="182"/>
      <c r="G71" s="400"/>
      <c r="H71" s="401"/>
      <c r="I71" s="401"/>
      <c r="J71" s="60" t="str">
        <f>IF(COUNTIF(F71,TRUE)&gt;=1,"AUTO FAIL","PASS")</f>
        <v>PASS</v>
      </c>
      <c r="O71" s="44" t="s">
        <v>135</v>
      </c>
      <c r="P71" s="133" t="s">
        <v>51</v>
      </c>
      <c r="Q71" s="87">
        <v>1</v>
      </c>
      <c r="R71" s="87">
        <f>IF(E71="Not Met",Q71,0)</f>
        <v>0</v>
      </c>
      <c r="S71" s="87">
        <f>R71</f>
        <v>0</v>
      </c>
      <c r="T71" s="87">
        <f>R71</f>
        <v>0</v>
      </c>
    </row>
    <row r="72" spans="3:31" ht="22.2" customHeight="1" x14ac:dyDescent="0.3">
      <c r="C72" s="31"/>
      <c r="D72" s="31"/>
      <c r="E72" s="31"/>
      <c r="F72" s="31"/>
      <c r="G72" s="31"/>
      <c r="H72" s="31"/>
      <c r="I72" s="31"/>
      <c r="J72" s="31"/>
      <c r="O72" s="284" t="s">
        <v>136</v>
      </c>
      <c r="P72" s="284"/>
      <c r="Q72" s="90">
        <f>SUM($Q$27:$Q$54)</f>
        <v>0.54999999999999993</v>
      </c>
      <c r="R72" s="90">
        <f>Q72-SUM($R$27:$R$49)</f>
        <v>0.54999999999999993</v>
      </c>
      <c r="S72" s="90">
        <f>Q72-SUM($S$27:$S$54)</f>
        <v>0</v>
      </c>
      <c r="T72" s="90">
        <f>SUM(T27:T70)-T71</f>
        <v>1</v>
      </c>
    </row>
    <row r="73" spans="3:31" ht="13.2" customHeight="1" x14ac:dyDescent="0.3"/>
    <row r="74" spans="3:31" ht="13.2" customHeight="1" x14ac:dyDescent="0.3"/>
    <row r="75" spans="3:31" ht="13.2" customHeight="1" x14ac:dyDescent="0.3"/>
    <row r="76" spans="3:31" ht="13.2" customHeight="1" x14ac:dyDescent="0.3"/>
    <row r="77" spans="3:31" ht="13.2" customHeight="1" x14ac:dyDescent="0.3"/>
    <row r="78" spans="3:31" ht="13.2" hidden="1" customHeight="1" x14ac:dyDescent="0.3"/>
    <row r="79" spans="3:31" ht="13.2" hidden="1" customHeight="1" x14ac:dyDescent="0.3"/>
    <row r="80" spans="3:31" ht="13.2" hidden="1" customHeight="1" x14ac:dyDescent="0.3"/>
    <row r="81" ht="13.2" hidden="1" customHeight="1" x14ac:dyDescent="0.3"/>
    <row r="82" ht="13.2" hidden="1" customHeight="1" x14ac:dyDescent="0.3"/>
    <row r="83" ht="13.2" hidden="1" customHeight="1" x14ac:dyDescent="0.3"/>
    <row r="84" ht="13.2" hidden="1" customHeight="1" x14ac:dyDescent="0.3"/>
    <row r="85" ht="13.2" hidden="1" customHeight="1" x14ac:dyDescent="0.3"/>
    <row r="86" ht="13.2" hidden="1" customHeight="1" x14ac:dyDescent="0.3"/>
    <row r="87" ht="13.2" hidden="1" customHeight="1" x14ac:dyDescent="0.3"/>
    <row r="88" ht="13.2" hidden="1" customHeight="1" x14ac:dyDescent="0.3"/>
    <row r="89" ht="13.2" hidden="1" customHeight="1" x14ac:dyDescent="0.3"/>
    <row r="90" ht="13.2" hidden="1" customHeight="1" x14ac:dyDescent="0.3"/>
    <row r="91" ht="13.2" hidden="1" customHeight="1" x14ac:dyDescent="0.3"/>
    <row r="92" ht="13.2" hidden="1" customHeight="1" x14ac:dyDescent="0.3"/>
    <row r="93" ht="13.2" hidden="1" customHeight="1" x14ac:dyDescent="0.3"/>
    <row r="94" ht="13.2" hidden="1" customHeight="1" x14ac:dyDescent="0.3"/>
    <row r="95" ht="13.2" hidden="1" customHeight="1" x14ac:dyDescent="0.3"/>
    <row r="96" x14ac:dyDescent="0.3"/>
    <row r="97" x14ac:dyDescent="0.3"/>
    <row r="98" x14ac:dyDescent="0.3"/>
    <row r="99" x14ac:dyDescent="0.3"/>
    <row r="100" x14ac:dyDescent="0.3"/>
    <row r="101" x14ac:dyDescent="0.3"/>
    <row r="102" x14ac:dyDescent="0.3"/>
    <row r="103" x14ac:dyDescent="0.3"/>
    <row r="104" x14ac:dyDescent="0.3"/>
    <row r="105" x14ac:dyDescent="0.3"/>
    <row r="106" x14ac:dyDescent="0.3"/>
    <row r="107" x14ac:dyDescent="0.3"/>
    <row r="108" x14ac:dyDescent="0.3"/>
    <row r="109" x14ac:dyDescent="0.3"/>
    <row r="110" x14ac:dyDescent="0.3"/>
    <row r="111" x14ac:dyDescent="0.3"/>
    <row r="112" x14ac:dyDescent="0.3"/>
    <row r="113" x14ac:dyDescent="0.3"/>
    <row r="114" x14ac:dyDescent="0.3"/>
    <row r="115" x14ac:dyDescent="0.3"/>
  </sheetData>
  <sheetProtection algorithmName="SHA-512" hashValue="eKzbv+djMRVObB0D3TK79aI55JVKIAJrKowZt2i869cNL+J4EGmZ79k6J/qWePFQuxvLNkfBpOhlr2toQXSyrA==" saltValue="xZDCJEq7Wza8V4nX3c/89w==" spinCount="100000" sheet="1" objects="1" scenarios="1"/>
  <dataConsolidate/>
  <mergeCells count="143">
    <mergeCell ref="I21:J21"/>
    <mergeCell ref="CQ1:CU1"/>
    <mergeCell ref="BP1:CF1"/>
    <mergeCell ref="BP2:BQ2"/>
    <mergeCell ref="BR2:BT2"/>
    <mergeCell ref="BZ2:CE2"/>
    <mergeCell ref="M2:R2"/>
    <mergeCell ref="M1:R1"/>
    <mergeCell ref="S2:T2"/>
    <mergeCell ref="U2:W2"/>
    <mergeCell ref="X2:Y2"/>
    <mergeCell ref="Z2:AE2"/>
    <mergeCell ref="S1:AF1"/>
    <mergeCell ref="AG2:AH2"/>
    <mergeCell ref="AI2:AL2"/>
    <mergeCell ref="AM2:AO2"/>
    <mergeCell ref="AU2:AW2"/>
    <mergeCell ref="AX2:BE2"/>
    <mergeCell ref="BF2:BG2"/>
    <mergeCell ref="AG1:BO1"/>
    <mergeCell ref="S50:S54"/>
    <mergeCell ref="Q50:Q54"/>
    <mergeCell ref="J52:J56"/>
    <mergeCell ref="G52:I56"/>
    <mergeCell ref="J46:J49"/>
    <mergeCell ref="W51:AB55"/>
    <mergeCell ref="C50:C56"/>
    <mergeCell ref="G15:H15"/>
    <mergeCell ref="G16:H16"/>
    <mergeCell ref="G17:H17"/>
    <mergeCell ref="C18:C21"/>
    <mergeCell ref="D18:D21"/>
    <mergeCell ref="G18:H18"/>
    <mergeCell ref="G21:H21"/>
    <mergeCell ref="G19:H19"/>
    <mergeCell ref="C27:C37"/>
    <mergeCell ref="G50:I50"/>
    <mergeCell ref="G46:I46"/>
    <mergeCell ref="G49:I49"/>
    <mergeCell ref="F47:F49"/>
    <mergeCell ref="G51:I51"/>
    <mergeCell ref="Q35:Q37"/>
    <mergeCell ref="P30:P34"/>
    <mergeCell ref="O48:O54"/>
    <mergeCell ref="G14:H14"/>
    <mergeCell ref="CG1:CP1"/>
    <mergeCell ref="T38:T45"/>
    <mergeCell ref="T27:T37"/>
    <mergeCell ref="P46:P47"/>
    <mergeCell ref="P38:P45"/>
    <mergeCell ref="O38:O47"/>
    <mergeCell ref="Q38:Q45"/>
    <mergeCell ref="Q46:Q47"/>
    <mergeCell ref="O27:O37"/>
    <mergeCell ref="S46:S47"/>
    <mergeCell ref="S38:S45"/>
    <mergeCell ref="S35:S37"/>
    <mergeCell ref="Q30:Q34"/>
    <mergeCell ref="P27:P29"/>
    <mergeCell ref="Q27:Q29"/>
    <mergeCell ref="R27:R29"/>
    <mergeCell ref="R35:R37"/>
    <mergeCell ref="S30:S32"/>
    <mergeCell ref="S33:S34"/>
    <mergeCell ref="AP2:AT2"/>
    <mergeCell ref="C25:J25"/>
    <mergeCell ref="E46:E49"/>
    <mergeCell ref="P35:P37"/>
    <mergeCell ref="T57:T64"/>
    <mergeCell ref="J57:J59"/>
    <mergeCell ref="J60:J61"/>
    <mergeCell ref="J62:J64"/>
    <mergeCell ref="O57:O64"/>
    <mergeCell ref="P57:P59"/>
    <mergeCell ref="P60:P61"/>
    <mergeCell ref="P62:P64"/>
    <mergeCell ref="G71:I71"/>
    <mergeCell ref="S65:S66"/>
    <mergeCell ref="T65:T70"/>
    <mergeCell ref="G60:I61"/>
    <mergeCell ref="G62:I64"/>
    <mergeCell ref="G65:I66"/>
    <mergeCell ref="S57:S59"/>
    <mergeCell ref="S60:S61"/>
    <mergeCell ref="S62:S64"/>
    <mergeCell ref="G57:I59"/>
    <mergeCell ref="D67:D70"/>
    <mergeCell ref="E67:E70"/>
    <mergeCell ref="G67:I70"/>
    <mergeCell ref="J67:J70"/>
    <mergeCell ref="P67:P70"/>
    <mergeCell ref="Q67:Q70"/>
    <mergeCell ref="S67:S70"/>
    <mergeCell ref="Q65:Q66"/>
    <mergeCell ref="C65:C70"/>
    <mergeCell ref="D65:D66"/>
    <mergeCell ref="E65:E66"/>
    <mergeCell ref="C57:C64"/>
    <mergeCell ref="D57:D59"/>
    <mergeCell ref="D62:D64"/>
    <mergeCell ref="E27:E29"/>
    <mergeCell ref="G27:I29"/>
    <mergeCell ref="J38:J45"/>
    <mergeCell ref="D35:D37"/>
    <mergeCell ref="E35:E37"/>
    <mergeCell ref="G35:I37"/>
    <mergeCell ref="J35:J37"/>
    <mergeCell ref="E57:E59"/>
    <mergeCell ref="E60:E61"/>
    <mergeCell ref="E62:E64"/>
    <mergeCell ref="D27:D29"/>
    <mergeCell ref="C38:C49"/>
    <mergeCell ref="D46:D49"/>
    <mergeCell ref="J27:J29"/>
    <mergeCell ref="D30:D34"/>
    <mergeCell ref="E30:E34"/>
    <mergeCell ref="G30:I34"/>
    <mergeCell ref="J30:J34"/>
    <mergeCell ref="F27:F29"/>
    <mergeCell ref="O72:P72"/>
    <mergeCell ref="R46:R47"/>
    <mergeCell ref="G47:I47"/>
    <mergeCell ref="G48:I48"/>
    <mergeCell ref="D60:D61"/>
    <mergeCell ref="J65:J66"/>
    <mergeCell ref="O65:O70"/>
    <mergeCell ref="P65:P66"/>
    <mergeCell ref="BU2:BY2"/>
    <mergeCell ref="T48:T54"/>
    <mergeCell ref="R38:R45"/>
    <mergeCell ref="C6:H7"/>
    <mergeCell ref="I6:J7"/>
    <mergeCell ref="G9:H9"/>
    <mergeCell ref="G10:H10"/>
    <mergeCell ref="G11:H11"/>
    <mergeCell ref="BI2:BJ2"/>
    <mergeCell ref="C26:D26"/>
    <mergeCell ref="G26:I26"/>
    <mergeCell ref="O26:P26"/>
    <mergeCell ref="S27:S29"/>
    <mergeCell ref="D38:D45"/>
    <mergeCell ref="E38:E45"/>
    <mergeCell ref="G38:I45"/>
  </mergeCells>
  <conditionalFormatting sqref="G21:H21">
    <cfRule type="cellIs" dxfId="14" priority="1" operator="between">
      <formula>0</formula>
      <formula>0.5</formula>
    </cfRule>
  </conditionalFormatting>
  <dataValidations count="8">
    <dataValidation type="list" allowBlank="1" showInputMessage="1" showErrorMessage="1" sqref="G11:H11" xr:uid="{00000000-0002-0000-0300-000000000000}">
      <formula1>kindofaudit</formula1>
    </dataValidation>
    <dataValidation type="list" allowBlank="1" showInputMessage="1" showErrorMessage="1" sqref="D10" xr:uid="{00000000-0002-0000-0300-000001000000}">
      <formula1>callduration</formula1>
    </dataValidation>
    <dataValidation type="list" allowBlank="1" showInputMessage="1" showErrorMessage="1" sqref="G15:H15" xr:uid="{00000000-0002-0000-0300-000002000000}">
      <formula1>wg</formula1>
    </dataValidation>
    <dataValidation type="list" allowBlank="1" showInputMessage="1" showErrorMessage="1" sqref="G18:H18" xr:uid="{00000000-0002-0000-0300-000003000000}">
      <formula1>contacttype</formula1>
    </dataValidation>
    <dataValidation type="list" allowBlank="1" showInputMessage="1" showErrorMessage="1" sqref="G19:H19" xr:uid="{00000000-0002-0000-0300-000004000000}">
      <formula1>calltype</formula1>
    </dataValidation>
    <dataValidation type="list" allowBlank="1" showDropDown="1" showInputMessage="1" showErrorMessage="1" sqref="F71" xr:uid="{00000000-0002-0000-0300-000005000000}">
      <formula1>zoep</formula1>
    </dataValidation>
    <dataValidation showDropDown="1" showInputMessage="1" showErrorMessage="1" sqref="D15" xr:uid="{00000000-0002-0000-0300-000006000000}"/>
    <dataValidation showInputMessage="1" showErrorMessage="1" sqref="I21" xr:uid="{00000000-0002-0000-0300-000007000000}"/>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47" r:id="rId4" name="CommandButton1">
          <controlPr defaultSize="0" autoLine="0" autoPict="0" r:id="rId5">
            <anchor moveWithCells="1">
              <from>
                <xdr:col>8</xdr:col>
                <xdr:colOff>91440</xdr:colOff>
                <xdr:row>73</xdr:row>
                <xdr:rowOff>137160</xdr:rowOff>
              </from>
              <to>
                <xdr:col>10</xdr:col>
                <xdr:colOff>30480</xdr:colOff>
                <xdr:row>95</xdr:row>
                <xdr:rowOff>15240</xdr:rowOff>
              </to>
            </anchor>
          </controlPr>
        </control>
      </mc:Choice>
      <mc:Fallback>
        <control shapeId="1147" r:id="rId4" name="CommandButton1"/>
      </mc:Fallback>
    </mc:AlternateContent>
    <mc:AlternateContent xmlns:mc="http://schemas.openxmlformats.org/markup-compatibility/2006">
      <mc:Choice Requires="x14">
        <control shapeId="1029" r:id="rId6" name="Check Box 5">
          <controlPr defaultSize="0" autoFill="0" autoLine="0" autoPict="0">
            <anchor moveWithCells="1">
              <from>
                <xdr:col>5</xdr:col>
                <xdr:colOff>15240</xdr:colOff>
                <xdr:row>64</xdr:row>
                <xdr:rowOff>15240</xdr:rowOff>
              </from>
              <to>
                <xdr:col>5</xdr:col>
                <xdr:colOff>2758440</xdr:colOff>
                <xdr:row>65</xdr:row>
                <xdr:rowOff>60960</xdr:rowOff>
              </to>
            </anchor>
          </controlPr>
        </control>
      </mc:Choice>
    </mc:AlternateContent>
    <mc:AlternateContent xmlns:mc="http://schemas.openxmlformats.org/markup-compatibility/2006">
      <mc:Choice Requires="x14">
        <control shapeId="1030" r:id="rId7" name="Check Box 6">
          <controlPr defaultSize="0" autoFill="0" autoLine="0" autoPict="0">
            <anchor moveWithCells="1">
              <from>
                <xdr:col>5</xdr:col>
                <xdr:colOff>22860</xdr:colOff>
                <xdr:row>65</xdr:row>
                <xdr:rowOff>22860</xdr:rowOff>
              </from>
              <to>
                <xdr:col>5</xdr:col>
                <xdr:colOff>2766060</xdr:colOff>
                <xdr:row>66</xdr:row>
                <xdr:rowOff>60960</xdr:rowOff>
              </to>
            </anchor>
          </controlPr>
        </control>
      </mc:Choice>
    </mc:AlternateContent>
    <mc:AlternateContent xmlns:mc="http://schemas.openxmlformats.org/markup-compatibility/2006">
      <mc:Choice Requires="x14">
        <control shapeId="1032" r:id="rId8" name="Check Box 8">
          <controlPr defaultSize="0" autoFill="0" autoLine="0" autoPict="0">
            <anchor moveWithCells="1">
              <from>
                <xdr:col>5</xdr:col>
                <xdr:colOff>15240</xdr:colOff>
                <xdr:row>66</xdr:row>
                <xdr:rowOff>15240</xdr:rowOff>
              </from>
              <to>
                <xdr:col>5</xdr:col>
                <xdr:colOff>2758440</xdr:colOff>
                <xdr:row>67</xdr:row>
                <xdr:rowOff>60960</xdr:rowOff>
              </to>
            </anchor>
          </controlPr>
        </control>
      </mc:Choice>
    </mc:AlternateContent>
    <mc:AlternateContent xmlns:mc="http://schemas.openxmlformats.org/markup-compatibility/2006">
      <mc:Choice Requires="x14">
        <control shapeId="1033" r:id="rId9" name="Check Box 9">
          <controlPr defaultSize="0" autoFill="0" autoLine="0" autoPict="0">
            <anchor moveWithCells="1">
              <from>
                <xdr:col>5</xdr:col>
                <xdr:colOff>15240</xdr:colOff>
                <xdr:row>67</xdr:row>
                <xdr:rowOff>15240</xdr:rowOff>
              </from>
              <to>
                <xdr:col>5</xdr:col>
                <xdr:colOff>2758440</xdr:colOff>
                <xdr:row>68</xdr:row>
                <xdr:rowOff>60960</xdr:rowOff>
              </to>
            </anchor>
          </controlPr>
        </control>
      </mc:Choice>
    </mc:AlternateContent>
    <mc:AlternateContent xmlns:mc="http://schemas.openxmlformats.org/markup-compatibility/2006">
      <mc:Choice Requires="x14">
        <control shapeId="1034" r:id="rId10" name="Check Box 10">
          <controlPr defaultSize="0" autoFill="0" autoLine="0" autoPict="0">
            <anchor moveWithCells="1">
              <from>
                <xdr:col>5</xdr:col>
                <xdr:colOff>15240</xdr:colOff>
                <xdr:row>68</xdr:row>
                <xdr:rowOff>15240</xdr:rowOff>
              </from>
              <to>
                <xdr:col>5</xdr:col>
                <xdr:colOff>2758440</xdr:colOff>
                <xdr:row>69</xdr:row>
                <xdr:rowOff>60960</xdr:rowOff>
              </to>
            </anchor>
          </controlPr>
        </control>
      </mc:Choice>
    </mc:AlternateContent>
    <mc:AlternateContent xmlns:mc="http://schemas.openxmlformats.org/markup-compatibility/2006">
      <mc:Choice Requires="x14">
        <control shapeId="1035" r:id="rId11" name="Check Box 11">
          <controlPr defaultSize="0" autoFill="0" autoLine="0" autoPict="0">
            <anchor moveWithCells="1">
              <from>
                <xdr:col>5</xdr:col>
                <xdr:colOff>15240</xdr:colOff>
                <xdr:row>69</xdr:row>
                <xdr:rowOff>15240</xdr:rowOff>
              </from>
              <to>
                <xdr:col>5</xdr:col>
                <xdr:colOff>2758440</xdr:colOff>
                <xdr:row>70</xdr:row>
                <xdr:rowOff>60960</xdr:rowOff>
              </to>
            </anchor>
          </controlPr>
        </control>
      </mc:Choice>
    </mc:AlternateContent>
    <mc:AlternateContent xmlns:mc="http://schemas.openxmlformats.org/markup-compatibility/2006">
      <mc:Choice Requires="x14">
        <control shapeId="1036" r:id="rId12" name="Check Box 12">
          <controlPr defaultSize="0" autoFill="0" autoLine="0" autoPict="0">
            <anchor moveWithCells="1">
              <from>
                <xdr:col>5</xdr:col>
                <xdr:colOff>22860</xdr:colOff>
                <xdr:row>26</xdr:row>
                <xdr:rowOff>0</xdr:rowOff>
              </from>
              <to>
                <xdr:col>5</xdr:col>
                <xdr:colOff>2766060</xdr:colOff>
                <xdr:row>27</xdr:row>
                <xdr:rowOff>60960</xdr:rowOff>
              </to>
            </anchor>
          </controlPr>
        </control>
      </mc:Choice>
    </mc:AlternateContent>
    <mc:AlternateContent xmlns:mc="http://schemas.openxmlformats.org/markup-compatibility/2006">
      <mc:Choice Requires="x14">
        <control shapeId="1037" r:id="rId13" name="Check Box 13">
          <controlPr defaultSize="0" autoFill="0" autoLine="0" autoPict="0">
            <anchor moveWithCells="1">
              <from>
                <xdr:col>5</xdr:col>
                <xdr:colOff>22860</xdr:colOff>
                <xdr:row>28</xdr:row>
                <xdr:rowOff>0</xdr:rowOff>
              </from>
              <to>
                <xdr:col>5</xdr:col>
                <xdr:colOff>2766060</xdr:colOff>
                <xdr:row>28</xdr:row>
                <xdr:rowOff>335280</xdr:rowOff>
              </to>
            </anchor>
          </controlPr>
        </control>
      </mc:Choice>
    </mc:AlternateContent>
    <mc:AlternateContent xmlns:mc="http://schemas.openxmlformats.org/markup-compatibility/2006">
      <mc:Choice Requires="x14">
        <control shapeId="1038" r:id="rId14" name="Check Box 14">
          <controlPr defaultSize="0" autoFill="0" autoLine="0" autoPict="0">
            <anchor moveWithCells="1">
              <from>
                <xdr:col>5</xdr:col>
                <xdr:colOff>15240</xdr:colOff>
                <xdr:row>34</xdr:row>
                <xdr:rowOff>0</xdr:rowOff>
              </from>
              <to>
                <xdr:col>5</xdr:col>
                <xdr:colOff>2758440</xdr:colOff>
                <xdr:row>35</xdr:row>
                <xdr:rowOff>60960</xdr:rowOff>
              </to>
            </anchor>
          </controlPr>
        </control>
      </mc:Choice>
    </mc:AlternateContent>
    <mc:AlternateContent xmlns:mc="http://schemas.openxmlformats.org/markup-compatibility/2006">
      <mc:Choice Requires="x14">
        <control shapeId="1039" r:id="rId15" name="Check Box 15">
          <controlPr defaultSize="0" autoFill="0" autoLine="0" autoPict="0">
            <anchor moveWithCells="1">
              <from>
                <xdr:col>5</xdr:col>
                <xdr:colOff>15240</xdr:colOff>
                <xdr:row>35</xdr:row>
                <xdr:rowOff>0</xdr:rowOff>
              </from>
              <to>
                <xdr:col>5</xdr:col>
                <xdr:colOff>2758440</xdr:colOff>
                <xdr:row>36</xdr:row>
                <xdr:rowOff>60960</xdr:rowOff>
              </to>
            </anchor>
          </controlPr>
        </control>
      </mc:Choice>
    </mc:AlternateContent>
    <mc:AlternateContent xmlns:mc="http://schemas.openxmlformats.org/markup-compatibility/2006">
      <mc:Choice Requires="x14">
        <control shapeId="1040" r:id="rId16" name="Check Box 16">
          <controlPr defaultSize="0" autoFill="0" autoLine="0" autoPict="0">
            <anchor moveWithCells="1">
              <from>
                <xdr:col>5</xdr:col>
                <xdr:colOff>15240</xdr:colOff>
                <xdr:row>36</xdr:row>
                <xdr:rowOff>0</xdr:rowOff>
              </from>
              <to>
                <xdr:col>5</xdr:col>
                <xdr:colOff>2758440</xdr:colOff>
                <xdr:row>37</xdr:row>
                <xdr:rowOff>60960</xdr:rowOff>
              </to>
            </anchor>
          </controlPr>
        </control>
      </mc:Choice>
    </mc:AlternateContent>
    <mc:AlternateContent xmlns:mc="http://schemas.openxmlformats.org/markup-compatibility/2006">
      <mc:Choice Requires="x14">
        <control shapeId="1042" r:id="rId17" name="Check Box 18">
          <controlPr defaultSize="0" autoFill="0" autoLine="0" autoPict="0">
            <anchor moveWithCells="1">
              <from>
                <xdr:col>5</xdr:col>
                <xdr:colOff>22860</xdr:colOff>
                <xdr:row>29</xdr:row>
                <xdr:rowOff>0</xdr:rowOff>
              </from>
              <to>
                <xdr:col>5</xdr:col>
                <xdr:colOff>2766060</xdr:colOff>
                <xdr:row>30</xdr:row>
                <xdr:rowOff>60960</xdr:rowOff>
              </to>
            </anchor>
          </controlPr>
        </control>
      </mc:Choice>
    </mc:AlternateContent>
    <mc:AlternateContent xmlns:mc="http://schemas.openxmlformats.org/markup-compatibility/2006">
      <mc:Choice Requires="x14">
        <control shapeId="1043" r:id="rId18" name="Check Box 19">
          <controlPr defaultSize="0" autoFill="0" autoLine="0" autoPict="0">
            <anchor moveWithCells="1">
              <from>
                <xdr:col>5</xdr:col>
                <xdr:colOff>22860</xdr:colOff>
                <xdr:row>31</xdr:row>
                <xdr:rowOff>251460</xdr:rowOff>
              </from>
              <to>
                <xdr:col>5</xdr:col>
                <xdr:colOff>2766060</xdr:colOff>
                <xdr:row>33</xdr:row>
                <xdr:rowOff>30480</xdr:rowOff>
              </to>
            </anchor>
          </controlPr>
        </control>
      </mc:Choice>
    </mc:AlternateContent>
    <mc:AlternateContent xmlns:mc="http://schemas.openxmlformats.org/markup-compatibility/2006">
      <mc:Choice Requires="x14">
        <control shapeId="1044" r:id="rId19" name="Check Box 20">
          <controlPr defaultSize="0" autoFill="0" autoLine="0" autoPict="0">
            <anchor moveWithCells="1">
              <from>
                <xdr:col>5</xdr:col>
                <xdr:colOff>22860</xdr:colOff>
                <xdr:row>31</xdr:row>
                <xdr:rowOff>0</xdr:rowOff>
              </from>
              <to>
                <xdr:col>5</xdr:col>
                <xdr:colOff>2766060</xdr:colOff>
                <xdr:row>32</xdr:row>
                <xdr:rowOff>60960</xdr:rowOff>
              </to>
            </anchor>
          </controlPr>
        </control>
      </mc:Choice>
    </mc:AlternateContent>
    <mc:AlternateContent xmlns:mc="http://schemas.openxmlformats.org/markup-compatibility/2006">
      <mc:Choice Requires="x14">
        <control shapeId="1045" r:id="rId20" name="Check Box 21">
          <controlPr defaultSize="0" autoFill="0" autoLine="0" autoPict="0">
            <anchor moveWithCells="1">
              <from>
                <xdr:col>5</xdr:col>
                <xdr:colOff>22860</xdr:colOff>
                <xdr:row>30</xdr:row>
                <xdr:rowOff>0</xdr:rowOff>
              </from>
              <to>
                <xdr:col>5</xdr:col>
                <xdr:colOff>2766060</xdr:colOff>
                <xdr:row>31</xdr:row>
                <xdr:rowOff>60960</xdr:rowOff>
              </to>
            </anchor>
          </controlPr>
        </control>
      </mc:Choice>
    </mc:AlternateContent>
    <mc:AlternateContent xmlns:mc="http://schemas.openxmlformats.org/markup-compatibility/2006">
      <mc:Choice Requires="x14">
        <control shapeId="1047" r:id="rId21" name="Check Box 23">
          <controlPr defaultSize="0" autoFill="0" autoLine="0" autoPict="0">
            <anchor moveWithCells="1">
              <from>
                <xdr:col>5</xdr:col>
                <xdr:colOff>0</xdr:colOff>
                <xdr:row>37</xdr:row>
                <xdr:rowOff>22860</xdr:rowOff>
              </from>
              <to>
                <xdr:col>5</xdr:col>
                <xdr:colOff>2743200</xdr:colOff>
                <xdr:row>37</xdr:row>
                <xdr:rowOff>297180</xdr:rowOff>
              </to>
            </anchor>
          </controlPr>
        </control>
      </mc:Choice>
    </mc:AlternateContent>
    <mc:AlternateContent xmlns:mc="http://schemas.openxmlformats.org/markup-compatibility/2006">
      <mc:Choice Requires="x14">
        <control shapeId="1049" r:id="rId22" name="Check Box 25">
          <controlPr defaultSize="0" autoFill="0" autoLine="0" autoPict="0">
            <anchor moveWithCells="1">
              <from>
                <xdr:col>5</xdr:col>
                <xdr:colOff>0</xdr:colOff>
                <xdr:row>38</xdr:row>
                <xdr:rowOff>0</xdr:rowOff>
              </from>
              <to>
                <xdr:col>5</xdr:col>
                <xdr:colOff>2804160</xdr:colOff>
                <xdr:row>39</xdr:row>
                <xdr:rowOff>91440</xdr:rowOff>
              </to>
            </anchor>
          </controlPr>
        </control>
      </mc:Choice>
    </mc:AlternateContent>
    <mc:AlternateContent xmlns:mc="http://schemas.openxmlformats.org/markup-compatibility/2006">
      <mc:Choice Requires="x14">
        <control shapeId="1050" r:id="rId23" name="Check Box 26">
          <controlPr defaultSize="0" autoFill="0" autoLine="0" autoPict="0">
            <anchor moveWithCells="1">
              <from>
                <xdr:col>5</xdr:col>
                <xdr:colOff>15240</xdr:colOff>
                <xdr:row>39</xdr:row>
                <xdr:rowOff>213360</xdr:rowOff>
              </from>
              <to>
                <xdr:col>5</xdr:col>
                <xdr:colOff>2727960</xdr:colOff>
                <xdr:row>40</xdr:row>
                <xdr:rowOff>76200</xdr:rowOff>
              </to>
            </anchor>
          </controlPr>
        </control>
      </mc:Choice>
    </mc:AlternateContent>
    <mc:AlternateContent xmlns:mc="http://schemas.openxmlformats.org/markup-compatibility/2006">
      <mc:Choice Requires="x14">
        <control shapeId="1051" r:id="rId24" name="Check Box 27">
          <controlPr defaultSize="0" autoFill="0" autoLine="0" autoPict="0">
            <anchor moveWithCells="1">
              <from>
                <xdr:col>5</xdr:col>
                <xdr:colOff>22860</xdr:colOff>
                <xdr:row>45</xdr:row>
                <xdr:rowOff>76200</xdr:rowOff>
              </from>
              <to>
                <xdr:col>5</xdr:col>
                <xdr:colOff>2766060</xdr:colOff>
                <xdr:row>45</xdr:row>
                <xdr:rowOff>411480</xdr:rowOff>
              </to>
            </anchor>
          </controlPr>
        </control>
      </mc:Choice>
    </mc:AlternateContent>
    <mc:AlternateContent xmlns:mc="http://schemas.openxmlformats.org/markup-compatibility/2006">
      <mc:Choice Requires="x14">
        <control shapeId="1052" r:id="rId25" name="Check Box 28">
          <controlPr defaultSize="0" autoFill="0" autoLine="0" autoPict="0">
            <anchor moveWithCells="1">
              <from>
                <xdr:col>5</xdr:col>
                <xdr:colOff>22860</xdr:colOff>
                <xdr:row>46</xdr:row>
                <xdr:rowOff>251460</xdr:rowOff>
              </from>
              <to>
                <xdr:col>5</xdr:col>
                <xdr:colOff>2796540</xdr:colOff>
                <xdr:row>47</xdr:row>
                <xdr:rowOff>228600</xdr:rowOff>
              </to>
            </anchor>
          </controlPr>
        </control>
      </mc:Choice>
    </mc:AlternateContent>
    <mc:AlternateContent xmlns:mc="http://schemas.openxmlformats.org/markup-compatibility/2006">
      <mc:Choice Requires="x14">
        <control shapeId="1053" r:id="rId26" name="Check Box 29">
          <controlPr defaultSize="0" autoFill="0" autoLine="0" autoPict="0">
            <anchor moveWithCells="1">
              <from>
                <xdr:col>5</xdr:col>
                <xdr:colOff>15240</xdr:colOff>
                <xdr:row>52</xdr:row>
                <xdr:rowOff>53340</xdr:rowOff>
              </from>
              <to>
                <xdr:col>5</xdr:col>
                <xdr:colOff>2766060</xdr:colOff>
                <xdr:row>53</xdr:row>
                <xdr:rowOff>0</xdr:rowOff>
              </to>
            </anchor>
          </controlPr>
        </control>
      </mc:Choice>
    </mc:AlternateContent>
    <mc:AlternateContent xmlns:mc="http://schemas.openxmlformats.org/markup-compatibility/2006">
      <mc:Choice Requires="x14">
        <control shapeId="1054" r:id="rId27" name="Check Box 30">
          <controlPr defaultSize="0" autoFill="0" autoLine="0" autoPict="0">
            <anchor moveWithCells="1">
              <from>
                <xdr:col>5</xdr:col>
                <xdr:colOff>15240</xdr:colOff>
                <xdr:row>53</xdr:row>
                <xdr:rowOff>22860</xdr:rowOff>
              </from>
              <to>
                <xdr:col>5</xdr:col>
                <xdr:colOff>2766060</xdr:colOff>
                <xdr:row>53</xdr:row>
                <xdr:rowOff>365760</xdr:rowOff>
              </to>
            </anchor>
          </controlPr>
        </control>
      </mc:Choice>
    </mc:AlternateContent>
    <mc:AlternateContent xmlns:mc="http://schemas.openxmlformats.org/markup-compatibility/2006">
      <mc:Choice Requires="x14">
        <control shapeId="1055" r:id="rId28" name="Check Box 31">
          <controlPr defaultSize="0" autoFill="0" autoLine="0" autoPict="0">
            <anchor moveWithCells="1">
              <from>
                <xdr:col>5</xdr:col>
                <xdr:colOff>15240</xdr:colOff>
                <xdr:row>54</xdr:row>
                <xdr:rowOff>30480</xdr:rowOff>
              </from>
              <to>
                <xdr:col>5</xdr:col>
                <xdr:colOff>2758440</xdr:colOff>
                <xdr:row>54</xdr:row>
                <xdr:rowOff>365760</xdr:rowOff>
              </to>
            </anchor>
          </controlPr>
        </control>
      </mc:Choice>
    </mc:AlternateContent>
    <mc:AlternateContent xmlns:mc="http://schemas.openxmlformats.org/markup-compatibility/2006">
      <mc:Choice Requires="x14">
        <control shapeId="1087" r:id="rId29" name="Check Box 63">
          <controlPr defaultSize="0" autoFill="0" autoLine="0" autoPict="0">
            <anchor moveWithCells="1">
              <from>
                <xdr:col>5</xdr:col>
                <xdr:colOff>22860</xdr:colOff>
                <xdr:row>27</xdr:row>
                <xdr:rowOff>0</xdr:rowOff>
              </from>
              <to>
                <xdr:col>5</xdr:col>
                <xdr:colOff>2766060</xdr:colOff>
                <xdr:row>28</xdr:row>
                <xdr:rowOff>60960</xdr:rowOff>
              </to>
            </anchor>
          </controlPr>
        </control>
      </mc:Choice>
    </mc:AlternateContent>
    <mc:AlternateContent xmlns:mc="http://schemas.openxmlformats.org/markup-compatibility/2006">
      <mc:Choice Requires="x14">
        <control shapeId="1088" r:id="rId30" name="Check Box 64">
          <controlPr defaultSize="0" autoFill="0" autoLine="0" autoPict="0">
            <anchor moveWithCells="1">
              <from>
                <xdr:col>5</xdr:col>
                <xdr:colOff>0</xdr:colOff>
                <xdr:row>41</xdr:row>
                <xdr:rowOff>76200</xdr:rowOff>
              </from>
              <to>
                <xdr:col>5</xdr:col>
                <xdr:colOff>2743200</xdr:colOff>
                <xdr:row>42</xdr:row>
                <xdr:rowOff>60960</xdr:rowOff>
              </to>
            </anchor>
          </controlPr>
        </control>
      </mc:Choice>
    </mc:AlternateContent>
    <mc:AlternateContent xmlns:mc="http://schemas.openxmlformats.org/markup-compatibility/2006">
      <mc:Choice Requires="x14">
        <control shapeId="1089" r:id="rId31" name="Check Box 65">
          <controlPr defaultSize="0" autoFill="0" autoLine="0" autoPict="0">
            <anchor moveWithCells="1">
              <from>
                <xdr:col>5</xdr:col>
                <xdr:colOff>0</xdr:colOff>
                <xdr:row>40</xdr:row>
                <xdr:rowOff>114300</xdr:rowOff>
              </from>
              <to>
                <xdr:col>5</xdr:col>
                <xdr:colOff>2743200</xdr:colOff>
                <xdr:row>41</xdr:row>
                <xdr:rowOff>91440</xdr:rowOff>
              </to>
            </anchor>
          </controlPr>
        </control>
      </mc:Choice>
    </mc:AlternateContent>
    <mc:AlternateContent xmlns:mc="http://schemas.openxmlformats.org/markup-compatibility/2006">
      <mc:Choice Requires="x14">
        <control shapeId="1090" r:id="rId32" name="Check Box 66">
          <controlPr defaultSize="0" autoFill="0" autoLine="0" autoPict="0">
            <anchor moveWithCells="1">
              <from>
                <xdr:col>4</xdr:col>
                <xdr:colOff>1005840</xdr:colOff>
                <xdr:row>43</xdr:row>
                <xdr:rowOff>15240</xdr:rowOff>
              </from>
              <to>
                <xdr:col>5</xdr:col>
                <xdr:colOff>2735580</xdr:colOff>
                <xdr:row>43</xdr:row>
                <xdr:rowOff>289560</xdr:rowOff>
              </to>
            </anchor>
          </controlPr>
        </control>
      </mc:Choice>
    </mc:AlternateContent>
    <mc:AlternateContent xmlns:mc="http://schemas.openxmlformats.org/markup-compatibility/2006">
      <mc:Choice Requires="x14">
        <control shapeId="1091" r:id="rId33" name="Check Box 67">
          <controlPr defaultSize="0" autoFill="0" autoLine="0" autoPict="0">
            <anchor moveWithCells="1">
              <from>
                <xdr:col>4</xdr:col>
                <xdr:colOff>1005840</xdr:colOff>
                <xdr:row>42</xdr:row>
                <xdr:rowOff>53340</xdr:rowOff>
              </from>
              <to>
                <xdr:col>5</xdr:col>
                <xdr:colOff>2735580</xdr:colOff>
                <xdr:row>43</xdr:row>
                <xdr:rowOff>22860</xdr:rowOff>
              </to>
            </anchor>
          </controlPr>
        </control>
      </mc:Choice>
    </mc:AlternateContent>
    <mc:AlternateContent xmlns:mc="http://schemas.openxmlformats.org/markup-compatibility/2006">
      <mc:Choice Requires="x14">
        <control shapeId="1092" r:id="rId34" name="Check Box 68">
          <controlPr defaultSize="0" autoFill="0" autoLine="0" autoPict="0">
            <anchor moveWithCells="1">
              <from>
                <xdr:col>4</xdr:col>
                <xdr:colOff>1005840</xdr:colOff>
                <xdr:row>43</xdr:row>
                <xdr:rowOff>289560</xdr:rowOff>
              </from>
              <to>
                <xdr:col>5</xdr:col>
                <xdr:colOff>2735580</xdr:colOff>
                <xdr:row>44</xdr:row>
                <xdr:rowOff>251460</xdr:rowOff>
              </to>
            </anchor>
          </controlPr>
        </control>
      </mc:Choice>
    </mc:AlternateContent>
    <mc:AlternateContent xmlns:mc="http://schemas.openxmlformats.org/markup-compatibility/2006">
      <mc:Choice Requires="x14">
        <control shapeId="1093" r:id="rId35" name="Check Box 69">
          <controlPr defaultSize="0" autoFill="0" autoLine="0" autoPict="0">
            <anchor moveWithCells="1">
              <from>
                <xdr:col>5</xdr:col>
                <xdr:colOff>15240</xdr:colOff>
                <xdr:row>49</xdr:row>
                <xdr:rowOff>22860</xdr:rowOff>
              </from>
              <to>
                <xdr:col>5</xdr:col>
                <xdr:colOff>2758440</xdr:colOff>
                <xdr:row>50</xdr:row>
                <xdr:rowOff>15240</xdr:rowOff>
              </to>
            </anchor>
          </controlPr>
        </control>
      </mc:Choice>
    </mc:AlternateContent>
    <mc:AlternateContent xmlns:mc="http://schemas.openxmlformats.org/markup-compatibility/2006">
      <mc:Choice Requires="x14">
        <control shapeId="1094" r:id="rId36" name="Check Box 70">
          <controlPr defaultSize="0" autoFill="0" autoLine="0" autoPict="0">
            <anchor moveWithCells="1">
              <from>
                <xdr:col>5</xdr:col>
                <xdr:colOff>15240</xdr:colOff>
                <xdr:row>50</xdr:row>
                <xdr:rowOff>0</xdr:rowOff>
              </from>
              <to>
                <xdr:col>5</xdr:col>
                <xdr:colOff>2758440</xdr:colOff>
                <xdr:row>50</xdr:row>
                <xdr:rowOff>335280</xdr:rowOff>
              </to>
            </anchor>
          </controlPr>
        </control>
      </mc:Choice>
    </mc:AlternateContent>
    <mc:AlternateContent xmlns:mc="http://schemas.openxmlformats.org/markup-compatibility/2006">
      <mc:Choice Requires="x14">
        <control shapeId="1096" r:id="rId37" name="Check Box 72">
          <controlPr defaultSize="0" autoFill="0" autoLine="0" autoPict="0">
            <anchor moveWithCells="1">
              <from>
                <xdr:col>5</xdr:col>
                <xdr:colOff>15240</xdr:colOff>
                <xdr:row>50</xdr:row>
                <xdr:rowOff>373380</xdr:rowOff>
              </from>
              <to>
                <xdr:col>5</xdr:col>
                <xdr:colOff>2758440</xdr:colOff>
                <xdr:row>51</xdr:row>
                <xdr:rowOff>335280</xdr:rowOff>
              </to>
            </anchor>
          </controlPr>
        </control>
      </mc:Choice>
    </mc:AlternateContent>
    <mc:AlternateContent xmlns:mc="http://schemas.openxmlformats.org/markup-compatibility/2006">
      <mc:Choice Requires="x14">
        <control shapeId="1097" r:id="rId38" name="Check Box 73">
          <controlPr defaultSize="0" autoFill="0" autoLine="0" autoPict="0">
            <anchor moveWithCells="1">
              <from>
                <xdr:col>5</xdr:col>
                <xdr:colOff>15240</xdr:colOff>
                <xdr:row>55</xdr:row>
                <xdr:rowOff>30480</xdr:rowOff>
              </from>
              <to>
                <xdr:col>5</xdr:col>
                <xdr:colOff>2758440</xdr:colOff>
                <xdr:row>55</xdr:row>
                <xdr:rowOff>342900</xdr:rowOff>
              </to>
            </anchor>
          </controlPr>
        </control>
      </mc:Choice>
    </mc:AlternateContent>
    <mc:AlternateContent xmlns:mc="http://schemas.openxmlformats.org/markup-compatibility/2006">
      <mc:Choice Requires="x14">
        <control shapeId="1117" r:id="rId39" name="Check Box 93">
          <controlPr defaultSize="0" autoFill="0" autoLine="0" autoPict="0">
            <anchor moveWithCells="1">
              <from>
                <xdr:col>5</xdr:col>
                <xdr:colOff>22860</xdr:colOff>
                <xdr:row>32</xdr:row>
                <xdr:rowOff>213360</xdr:rowOff>
              </from>
              <to>
                <xdr:col>5</xdr:col>
                <xdr:colOff>2766060</xdr:colOff>
                <xdr:row>33</xdr:row>
                <xdr:rowOff>259080</xdr:rowOff>
              </to>
            </anchor>
          </controlPr>
        </control>
      </mc:Choice>
    </mc:AlternateContent>
    <mc:AlternateContent xmlns:mc="http://schemas.openxmlformats.org/markup-compatibility/2006">
      <mc:Choice Requires="x14">
        <control shapeId="1118" r:id="rId40" name="Check Box 94">
          <controlPr defaultSize="0" autoFill="0" autoLine="0" autoPict="0">
            <anchor moveWithCells="1">
              <from>
                <xdr:col>6</xdr:col>
                <xdr:colOff>38100</xdr:colOff>
                <xdr:row>46</xdr:row>
                <xdr:rowOff>304800</xdr:rowOff>
              </from>
              <to>
                <xdr:col>8</xdr:col>
                <xdr:colOff>975360</xdr:colOff>
                <xdr:row>48</xdr:row>
                <xdr:rowOff>22860</xdr:rowOff>
              </to>
            </anchor>
          </controlPr>
        </control>
      </mc:Choice>
    </mc:AlternateContent>
    <mc:AlternateContent xmlns:mc="http://schemas.openxmlformats.org/markup-compatibility/2006">
      <mc:Choice Requires="x14">
        <control shapeId="1119" r:id="rId41" name="Check Box 95">
          <controlPr defaultSize="0" autoFill="0" autoLine="0" autoPict="0">
            <anchor moveWithCells="1">
              <from>
                <xdr:col>6</xdr:col>
                <xdr:colOff>30480</xdr:colOff>
                <xdr:row>45</xdr:row>
                <xdr:rowOff>487680</xdr:rowOff>
              </from>
              <to>
                <xdr:col>8</xdr:col>
                <xdr:colOff>952500</xdr:colOff>
                <xdr:row>46</xdr:row>
                <xdr:rowOff>320040</xdr:rowOff>
              </to>
            </anchor>
          </controlPr>
        </control>
      </mc:Choice>
    </mc:AlternateContent>
    <mc:AlternateContent xmlns:mc="http://schemas.openxmlformats.org/markup-compatibility/2006">
      <mc:Choice Requires="x14">
        <control shapeId="1120" r:id="rId42" name="Check Box 96">
          <controlPr defaultSize="0" autoFill="0" autoLine="0" autoPict="0">
            <anchor moveWithCells="1">
              <from>
                <xdr:col>6</xdr:col>
                <xdr:colOff>53340</xdr:colOff>
                <xdr:row>47</xdr:row>
                <xdr:rowOff>266700</xdr:rowOff>
              </from>
              <to>
                <xdr:col>8</xdr:col>
                <xdr:colOff>975360</xdr:colOff>
                <xdr:row>49</xdr:row>
                <xdr:rowOff>22860</xdr:rowOff>
              </to>
            </anchor>
          </controlPr>
        </control>
      </mc:Choice>
    </mc:AlternateContent>
    <mc:AlternateContent xmlns:mc="http://schemas.openxmlformats.org/markup-compatibility/2006">
      <mc:Choice Requires="x14">
        <control shapeId="1130" r:id="rId43" name="Check Box 106">
          <controlPr defaultSize="0" autoFill="0" autoLine="0" autoPict="0">
            <anchor moveWithCells="1">
              <from>
                <xdr:col>5</xdr:col>
                <xdr:colOff>0</xdr:colOff>
                <xdr:row>58</xdr:row>
                <xdr:rowOff>0</xdr:rowOff>
              </from>
              <to>
                <xdr:col>5</xdr:col>
                <xdr:colOff>876300</xdr:colOff>
                <xdr:row>58</xdr:row>
                <xdr:rowOff>213360</xdr:rowOff>
              </to>
            </anchor>
          </controlPr>
        </control>
      </mc:Choice>
    </mc:AlternateContent>
    <mc:AlternateContent xmlns:mc="http://schemas.openxmlformats.org/markup-compatibility/2006">
      <mc:Choice Requires="x14">
        <control shapeId="1131" r:id="rId44" name="Check Box 107">
          <controlPr defaultSize="0" autoFill="0" autoLine="0" autoPict="0">
            <anchor moveWithCells="1">
              <from>
                <xdr:col>5</xdr:col>
                <xdr:colOff>0</xdr:colOff>
                <xdr:row>59</xdr:row>
                <xdr:rowOff>0</xdr:rowOff>
              </from>
              <to>
                <xdr:col>5</xdr:col>
                <xdr:colOff>1851660</xdr:colOff>
                <xdr:row>59</xdr:row>
                <xdr:rowOff>213360</xdr:rowOff>
              </to>
            </anchor>
          </controlPr>
        </control>
      </mc:Choice>
    </mc:AlternateContent>
    <mc:AlternateContent xmlns:mc="http://schemas.openxmlformats.org/markup-compatibility/2006">
      <mc:Choice Requires="x14">
        <control shapeId="1132" r:id="rId45" name="Check Box 108">
          <controlPr defaultSize="0" autoFill="0" autoLine="0" autoPict="0">
            <anchor moveWithCells="1">
              <from>
                <xdr:col>5</xdr:col>
                <xdr:colOff>0</xdr:colOff>
                <xdr:row>60</xdr:row>
                <xdr:rowOff>0</xdr:rowOff>
              </from>
              <to>
                <xdr:col>5</xdr:col>
                <xdr:colOff>1485900</xdr:colOff>
                <xdr:row>60</xdr:row>
                <xdr:rowOff>213360</xdr:rowOff>
              </to>
            </anchor>
          </controlPr>
        </control>
      </mc:Choice>
    </mc:AlternateContent>
    <mc:AlternateContent xmlns:mc="http://schemas.openxmlformats.org/markup-compatibility/2006">
      <mc:Choice Requires="x14">
        <control shapeId="1133" r:id="rId46" name="Check Box 109">
          <controlPr defaultSize="0" autoFill="0" autoLine="0" autoPict="0">
            <anchor moveWithCells="1">
              <from>
                <xdr:col>5</xdr:col>
                <xdr:colOff>0</xdr:colOff>
                <xdr:row>61</xdr:row>
                <xdr:rowOff>0</xdr:rowOff>
              </from>
              <to>
                <xdr:col>5</xdr:col>
                <xdr:colOff>1584960</xdr:colOff>
                <xdr:row>61</xdr:row>
                <xdr:rowOff>213360</xdr:rowOff>
              </to>
            </anchor>
          </controlPr>
        </control>
      </mc:Choice>
    </mc:AlternateContent>
    <mc:AlternateContent xmlns:mc="http://schemas.openxmlformats.org/markup-compatibility/2006">
      <mc:Choice Requires="x14">
        <control shapeId="1135" r:id="rId47" name="Check Box 111">
          <controlPr defaultSize="0" autoFill="0" autoLine="0" autoPict="0">
            <anchor moveWithCells="1">
              <from>
                <xdr:col>5</xdr:col>
                <xdr:colOff>0</xdr:colOff>
                <xdr:row>63</xdr:row>
                <xdr:rowOff>15240</xdr:rowOff>
              </from>
              <to>
                <xdr:col>5</xdr:col>
                <xdr:colOff>1828800</xdr:colOff>
                <xdr:row>63</xdr:row>
                <xdr:rowOff>220980</xdr:rowOff>
              </to>
            </anchor>
          </controlPr>
        </control>
      </mc:Choice>
    </mc:AlternateContent>
    <mc:AlternateContent xmlns:mc="http://schemas.openxmlformats.org/markup-compatibility/2006">
      <mc:Choice Requires="x14">
        <control shapeId="1136" r:id="rId48" name="Check Box 112">
          <controlPr defaultSize="0" autoFill="0" autoLine="0" autoPict="0">
            <anchor moveWithCells="1">
              <from>
                <xdr:col>5</xdr:col>
                <xdr:colOff>22860</xdr:colOff>
                <xdr:row>56</xdr:row>
                <xdr:rowOff>15240</xdr:rowOff>
              </from>
              <to>
                <xdr:col>5</xdr:col>
                <xdr:colOff>2461260</xdr:colOff>
                <xdr:row>56</xdr:row>
                <xdr:rowOff>259080</xdr:rowOff>
              </to>
            </anchor>
          </controlPr>
        </control>
      </mc:Choice>
    </mc:AlternateContent>
    <mc:AlternateContent xmlns:mc="http://schemas.openxmlformats.org/markup-compatibility/2006">
      <mc:Choice Requires="x14">
        <control shapeId="1137" r:id="rId49" name="Check Box 113">
          <controlPr defaultSize="0" autoFill="0" autoLine="0" autoPict="0">
            <anchor moveWithCells="1">
              <from>
                <xdr:col>5</xdr:col>
                <xdr:colOff>22860</xdr:colOff>
                <xdr:row>57</xdr:row>
                <xdr:rowOff>0</xdr:rowOff>
              </from>
              <to>
                <xdr:col>5</xdr:col>
                <xdr:colOff>2659380</xdr:colOff>
                <xdr:row>57</xdr:row>
                <xdr:rowOff>205740</xdr:rowOff>
              </to>
            </anchor>
          </controlPr>
        </control>
      </mc:Choice>
    </mc:AlternateContent>
    <mc:AlternateContent xmlns:mc="http://schemas.openxmlformats.org/markup-compatibility/2006">
      <mc:Choice Requires="x14">
        <control shapeId="1138" r:id="rId50" name="Check Box 114">
          <controlPr defaultSize="0" autoFill="0" autoLine="0" autoPict="0">
            <anchor moveWithCells="1">
              <from>
                <xdr:col>4</xdr:col>
                <xdr:colOff>1013460</xdr:colOff>
                <xdr:row>62</xdr:row>
                <xdr:rowOff>22860</xdr:rowOff>
              </from>
              <to>
                <xdr:col>5</xdr:col>
                <xdr:colOff>1402080</xdr:colOff>
                <xdr:row>62</xdr:row>
                <xdr:rowOff>228600</xdr:rowOff>
              </to>
            </anchor>
          </controlPr>
        </control>
      </mc:Choice>
    </mc:AlternateContent>
    <mc:AlternateContent xmlns:mc="http://schemas.openxmlformats.org/markup-compatibility/2006">
      <mc:Choice Requires="x14">
        <control shapeId="1140" r:id="rId51" name="Check Box 116">
          <controlPr defaultSize="0" autoFill="0" autoLine="0" autoPict="0">
            <anchor moveWithCells="1">
              <from>
                <xdr:col>5</xdr:col>
                <xdr:colOff>0</xdr:colOff>
                <xdr:row>70</xdr:row>
                <xdr:rowOff>106680</xdr:rowOff>
              </from>
              <to>
                <xdr:col>5</xdr:col>
                <xdr:colOff>2743200</xdr:colOff>
                <xdr:row>70</xdr:row>
                <xdr:rowOff>434340</xdr:rowOff>
              </to>
            </anchor>
          </controlPr>
        </control>
      </mc:Choice>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300-000008000000}">
          <x14:formula1>
            <xm:f>Roster!$C$2:$C$36</xm:f>
          </x14:formula1>
          <xm:sqref>D11</xm:sqref>
        </x14:dataValidation>
        <x14:dataValidation type="list" allowBlank="1" showInputMessage="1" showErrorMessage="1" xr:uid="{00000000-0002-0000-0300-000009000000}">
          <x14:formula1>
            <xm:f>Roster!$Q$38:$Q$42</xm:f>
          </x14:formula1>
          <xm:sqref>D16</xm:sqref>
        </x14:dataValidation>
        <x14:dataValidation type="list" allowBlank="1" showInputMessage="1" showErrorMessage="1" xr:uid="{00000000-0002-0000-0300-00000A000000}">
          <x14:formula1>
            <xm:f>Roster!$T$2:$T$8</xm:f>
          </x14:formula1>
          <xm:sqref>G14:H14</xm:sqref>
        </x14:dataValidation>
        <x14:dataValidation type="list" allowBlank="1" showDropDown="1" showInputMessage="1" showErrorMessage="1" xr:uid="{00000000-0002-0000-0300-00000B000000}">
          <x14:formula1>
            <xm:f>Roster!$Q$38:$Q$43</xm:f>
          </x14:formula1>
          <xm:sqref>D67:D70</xm:sqref>
        </x14:dataValidation>
        <x14:dataValidation type="list" allowBlank="1" showInputMessage="1" showErrorMessage="1" xr:uid="{00000000-0002-0000-0300-00000C000000}">
          <x14:formula1>
            <xm:f>Roster!$N$2:$N$6</xm:f>
          </x14:formula1>
          <xm:sqref>G9:H9</xm:sqref>
        </x14:dataValidation>
        <x14:dataValidation type="list" allowBlank="1" showInputMessage="1" showErrorMessage="1" xr:uid="{00000000-0002-0000-0300-00000D000000}">
          <x14:formula1>
            <xm:f>Roster!$N$39:$N$51</xm:f>
          </x14:formula1>
          <xm:sqref>D17</xm:sqref>
        </x14:dataValidation>
        <x14:dataValidation type="list" allowBlank="1" showInputMessage="1" showErrorMessage="1" xr:uid="{00000000-0002-0000-0300-00000E000000}">
          <x14:formula1>
            <xm:f>Roster!$V$2:$V$9</xm:f>
          </x14:formula1>
          <xm:sqref>G71:I71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C632"/>
  <sheetViews>
    <sheetView topLeftCell="A19" zoomScale="115" zoomScaleNormal="115" workbookViewId="0">
      <selection activeCell="O20" sqref="O20"/>
    </sheetView>
  </sheetViews>
  <sheetFormatPr defaultColWidth="8.77734375" defaultRowHeight="12" x14ac:dyDescent="0.3"/>
  <cols>
    <col min="1" max="1" width="9.77734375" style="1" bestFit="1" customWidth="1"/>
    <col min="2" max="2" width="12.21875" style="1" customWidth="1"/>
    <col min="3" max="3" width="20.5546875" style="1" bestFit="1" customWidth="1"/>
    <col min="4" max="5" width="12" style="1" customWidth="1"/>
    <col min="6" max="8" width="17.77734375" style="1" customWidth="1"/>
    <col min="9" max="9" width="10.77734375" style="1" customWidth="1"/>
    <col min="10" max="10" width="13" style="1" customWidth="1"/>
    <col min="11" max="11" width="8" style="1" customWidth="1"/>
    <col min="12" max="12" width="11.5546875" style="1" customWidth="1"/>
    <col min="13" max="13" width="11.77734375" style="1" customWidth="1"/>
    <col min="14" max="14" width="14.77734375" style="1" customWidth="1"/>
    <col min="15" max="19" width="12.21875" style="1" customWidth="1"/>
    <col min="20" max="20" width="15.21875" style="1" customWidth="1"/>
    <col min="21" max="21" width="14.5546875" style="1" customWidth="1"/>
    <col min="22" max="22" width="20.44140625" style="1" bestFit="1" customWidth="1"/>
    <col min="23" max="23" width="15.21875" style="1" bestFit="1" customWidth="1"/>
    <col min="24" max="26" width="8.77734375" style="1"/>
    <col min="27" max="27" width="19.5546875" style="1" customWidth="1"/>
    <col min="28" max="28" width="17.77734375" style="1" customWidth="1"/>
    <col min="29" max="29" width="13.77734375" style="1" customWidth="1"/>
    <col min="30" max="16384" width="8.77734375" style="1"/>
  </cols>
  <sheetData>
    <row r="1" spans="1:29" ht="14.4" x14ac:dyDescent="0.25">
      <c r="A1" s="1" t="s">
        <v>202</v>
      </c>
      <c r="B1" s="1" t="s">
        <v>203</v>
      </c>
      <c r="C1" s="1" t="s">
        <v>204</v>
      </c>
      <c r="D1" s="1" t="s">
        <v>205</v>
      </c>
      <c r="E1" s="1" t="s">
        <v>206</v>
      </c>
      <c r="F1" s="1" t="s">
        <v>207</v>
      </c>
      <c r="G1" s="1" t="s">
        <v>208</v>
      </c>
      <c r="H1" s="1" t="s">
        <v>209</v>
      </c>
      <c r="I1" s="1" t="s">
        <v>68</v>
      </c>
      <c r="J1" s="1" t="s">
        <v>210</v>
      </c>
      <c r="K1" s="1" t="s">
        <v>211</v>
      </c>
      <c r="L1" s="1" t="s">
        <v>212</v>
      </c>
      <c r="N1" s="2" t="s">
        <v>75</v>
      </c>
      <c r="O1" s="48" t="s">
        <v>67</v>
      </c>
      <c r="P1" s="48" t="s">
        <v>68</v>
      </c>
      <c r="Q1" s="48" t="s">
        <v>77</v>
      </c>
      <c r="R1" s="48" t="s">
        <v>79</v>
      </c>
      <c r="S1" s="48" t="s">
        <v>213</v>
      </c>
      <c r="T1" s="49" t="s">
        <v>214</v>
      </c>
      <c r="U1" s="49" t="s">
        <v>215</v>
      </c>
      <c r="V1" s="48" t="s">
        <v>51</v>
      </c>
      <c r="AA1" s="191" t="s">
        <v>318</v>
      </c>
      <c r="AB1" s="191" t="s">
        <v>319</v>
      </c>
      <c r="AC1" s="191" t="s">
        <v>168</v>
      </c>
    </row>
    <row r="2" spans="1:29" ht="14.4" x14ac:dyDescent="0.3">
      <c r="C2" s="1" t="s">
        <v>169</v>
      </c>
      <c r="G2" s="1" t="s">
        <v>170</v>
      </c>
      <c r="H2" s="4"/>
      <c r="I2" s="1" t="s">
        <v>168</v>
      </c>
      <c r="N2" s="1" t="s">
        <v>216</v>
      </c>
      <c r="O2" s="47" t="s">
        <v>217</v>
      </c>
      <c r="P2" s="47" t="s">
        <v>177</v>
      </c>
      <c r="Q2" s="18" t="s">
        <v>218</v>
      </c>
      <c r="R2" s="18" t="s">
        <v>201</v>
      </c>
      <c r="S2" s="46" t="s">
        <v>171</v>
      </c>
      <c r="T2" s="46" t="s">
        <v>173</v>
      </c>
      <c r="U2" s="46" t="s">
        <v>175</v>
      </c>
      <c r="V2" s="18" t="s">
        <v>219</v>
      </c>
      <c r="AA2" s="192" t="s">
        <v>178</v>
      </c>
      <c r="AB2" s="192" t="s">
        <v>226</v>
      </c>
      <c r="AC2" s="192" t="s">
        <v>243</v>
      </c>
    </row>
    <row r="3" spans="1:29" ht="24" x14ac:dyDescent="0.3">
      <c r="C3" s="1" t="s">
        <v>184</v>
      </c>
      <c r="G3" s="1" t="s">
        <v>170</v>
      </c>
      <c r="H3" s="4"/>
      <c r="I3" s="1" t="s">
        <v>168</v>
      </c>
      <c r="N3" s="1" t="s">
        <v>170</v>
      </c>
      <c r="O3" s="47" t="s">
        <v>183</v>
      </c>
      <c r="P3" s="47" t="s">
        <v>168</v>
      </c>
      <c r="Q3" s="18" t="s">
        <v>192</v>
      </c>
      <c r="R3" s="18"/>
      <c r="S3" s="46" t="s">
        <v>220</v>
      </c>
      <c r="T3" s="46" t="s">
        <v>221</v>
      </c>
      <c r="U3" s="46" t="s">
        <v>175</v>
      </c>
      <c r="V3" s="18" t="s">
        <v>222</v>
      </c>
      <c r="AA3" s="192" t="s">
        <v>236</v>
      </c>
      <c r="AB3" s="192" t="s">
        <v>231</v>
      </c>
      <c r="AC3" s="192" t="s">
        <v>253</v>
      </c>
    </row>
    <row r="4" spans="1:29" ht="24" x14ac:dyDescent="0.3">
      <c r="C4" s="1" t="s">
        <v>178</v>
      </c>
      <c r="G4" s="1" t="s">
        <v>216</v>
      </c>
      <c r="H4" s="4"/>
      <c r="I4" s="1" t="s">
        <v>177</v>
      </c>
      <c r="N4" s="1" t="s">
        <v>223</v>
      </c>
      <c r="O4" s="47" t="s">
        <v>176</v>
      </c>
      <c r="P4" s="47" t="s">
        <v>179</v>
      </c>
      <c r="Q4" s="18" t="s">
        <v>186</v>
      </c>
      <c r="R4" s="18"/>
      <c r="S4" s="46"/>
      <c r="T4" s="46" t="s">
        <v>224</v>
      </c>
      <c r="U4" s="46" t="s">
        <v>175</v>
      </c>
      <c r="V4" s="18" t="s">
        <v>225</v>
      </c>
      <c r="AA4" s="192" t="s">
        <v>244</v>
      </c>
      <c r="AB4" s="192" t="s">
        <v>239</v>
      </c>
      <c r="AC4" s="192" t="s">
        <v>254</v>
      </c>
    </row>
    <row r="5" spans="1:29" ht="14.4" x14ac:dyDescent="0.3">
      <c r="C5" s="1" t="s">
        <v>226</v>
      </c>
      <c r="G5" s="1" t="s">
        <v>227</v>
      </c>
      <c r="H5" s="4"/>
      <c r="I5" s="1" t="s">
        <v>179</v>
      </c>
      <c r="N5" s="1" t="s">
        <v>227</v>
      </c>
      <c r="O5" s="47" t="s">
        <v>228</v>
      </c>
      <c r="P5" s="47"/>
      <c r="Q5" s="18" t="s">
        <v>200</v>
      </c>
      <c r="R5" s="18"/>
      <c r="S5" s="46"/>
      <c r="T5" s="1" t="s">
        <v>229</v>
      </c>
      <c r="U5" s="46" t="s">
        <v>175</v>
      </c>
      <c r="V5" s="18" t="s">
        <v>230</v>
      </c>
      <c r="AA5" s="192" t="s">
        <v>246</v>
      </c>
      <c r="AB5" s="192" t="s">
        <v>241</v>
      </c>
      <c r="AC5" s="192" t="s">
        <v>256</v>
      </c>
    </row>
    <row r="6" spans="1:29" ht="14.4" x14ac:dyDescent="0.3">
      <c r="C6" s="1" t="s">
        <v>231</v>
      </c>
      <c r="G6" s="1" t="s">
        <v>227</v>
      </c>
      <c r="H6" s="4"/>
      <c r="I6" s="1" t="s">
        <v>179</v>
      </c>
      <c r="O6" s="47" t="s">
        <v>232</v>
      </c>
      <c r="P6" s="47"/>
      <c r="Q6" s="18" t="s">
        <v>233</v>
      </c>
      <c r="R6" s="18"/>
      <c r="T6" s="46" t="s">
        <v>234</v>
      </c>
      <c r="U6" s="46"/>
      <c r="V6" s="18" t="s">
        <v>235</v>
      </c>
      <c r="AA6" s="192" t="s">
        <v>247</v>
      </c>
      <c r="AB6" s="192" t="s">
        <v>245</v>
      </c>
      <c r="AC6" s="193"/>
    </row>
    <row r="7" spans="1:29" ht="14.4" x14ac:dyDescent="0.3">
      <c r="C7" s="1" t="s">
        <v>236</v>
      </c>
      <c r="G7" s="1" t="s">
        <v>216</v>
      </c>
      <c r="H7" s="4"/>
      <c r="I7" s="1" t="s">
        <v>177</v>
      </c>
      <c r="O7" s="18"/>
      <c r="P7" s="18"/>
      <c r="Q7" s="18"/>
      <c r="R7" s="18"/>
      <c r="S7" s="18"/>
      <c r="T7" s="18" t="s">
        <v>237</v>
      </c>
      <c r="U7" s="46"/>
      <c r="V7" s="47" t="s">
        <v>238</v>
      </c>
      <c r="AA7" s="192" t="s">
        <v>248</v>
      </c>
      <c r="AB7" s="192" t="s">
        <v>250</v>
      </c>
      <c r="AC7" s="193"/>
    </row>
    <row r="8" spans="1:29" ht="14.4" x14ac:dyDescent="0.3">
      <c r="C8" s="1" t="s">
        <v>239</v>
      </c>
      <c r="G8" s="1" t="s">
        <v>227</v>
      </c>
      <c r="H8" s="4"/>
      <c r="I8" s="1" t="s">
        <v>179</v>
      </c>
      <c r="O8" s="18"/>
      <c r="P8" s="18"/>
      <c r="Q8" s="18"/>
      <c r="R8" s="18"/>
      <c r="S8" s="18"/>
      <c r="T8" s="18"/>
      <c r="U8" s="46"/>
      <c r="V8" s="46" t="s">
        <v>240</v>
      </c>
      <c r="AA8" s="192" t="s">
        <v>249</v>
      </c>
      <c r="AB8" s="192" t="s">
        <v>251</v>
      </c>
      <c r="AC8" s="193"/>
    </row>
    <row r="9" spans="1:29" ht="14.4" x14ac:dyDescent="0.3">
      <c r="C9" s="1" t="s">
        <v>241</v>
      </c>
      <c r="G9" s="1" t="s">
        <v>223</v>
      </c>
      <c r="H9" s="4"/>
      <c r="I9" s="1" t="s">
        <v>179</v>
      </c>
      <c r="O9" s="18"/>
      <c r="P9" s="18"/>
      <c r="Q9" s="18"/>
      <c r="R9" s="18"/>
      <c r="S9" s="18"/>
      <c r="T9" s="18"/>
      <c r="U9" s="46"/>
      <c r="V9" s="47" t="s">
        <v>242</v>
      </c>
      <c r="AA9" s="192" t="s">
        <v>252</v>
      </c>
      <c r="AB9" s="192" t="s">
        <v>258</v>
      </c>
      <c r="AC9" s="193"/>
    </row>
    <row r="10" spans="1:29" ht="14.4" x14ac:dyDescent="0.3">
      <c r="C10" s="1" t="s">
        <v>243</v>
      </c>
      <c r="G10" s="1" t="s">
        <v>170</v>
      </c>
      <c r="H10" s="4"/>
      <c r="I10" s="1" t="s">
        <v>168</v>
      </c>
      <c r="O10" s="18"/>
      <c r="P10" s="18"/>
      <c r="Q10" s="18"/>
      <c r="R10" s="18"/>
      <c r="S10" s="18"/>
      <c r="T10" s="18"/>
      <c r="U10" s="46"/>
      <c r="V10" s="47"/>
      <c r="AA10" s="192" t="s">
        <v>255</v>
      </c>
      <c r="AB10" s="192" t="s">
        <v>259</v>
      </c>
      <c r="AC10" s="193"/>
    </row>
    <row r="11" spans="1:29" ht="14.4" x14ac:dyDescent="0.3">
      <c r="C11" s="1" t="s">
        <v>244</v>
      </c>
      <c r="G11" s="1" t="s">
        <v>216</v>
      </c>
      <c r="H11" s="4"/>
      <c r="I11" s="1" t="s">
        <v>177</v>
      </c>
      <c r="O11" s="18"/>
      <c r="P11" s="18"/>
      <c r="Q11" s="18"/>
      <c r="R11" s="18"/>
      <c r="S11" s="18"/>
      <c r="T11" s="18"/>
      <c r="U11" s="18"/>
      <c r="V11" s="47"/>
      <c r="AA11" s="192" t="s">
        <v>262</v>
      </c>
      <c r="AB11" s="192" t="s">
        <v>260</v>
      </c>
      <c r="AC11" s="193"/>
    </row>
    <row r="12" spans="1:29" ht="14.4" x14ac:dyDescent="0.3">
      <c r="C12" s="1" t="s">
        <v>245</v>
      </c>
      <c r="G12" s="1" t="s">
        <v>227</v>
      </c>
      <c r="H12" s="4"/>
      <c r="I12" s="1" t="s">
        <v>179</v>
      </c>
      <c r="O12" s="18"/>
      <c r="P12" s="18"/>
      <c r="Q12" s="18"/>
      <c r="R12" s="18"/>
      <c r="S12" s="18"/>
      <c r="T12" s="18"/>
      <c r="U12" s="18"/>
      <c r="V12" s="46"/>
      <c r="AA12" s="192" t="s">
        <v>266</v>
      </c>
      <c r="AB12" s="192" t="s">
        <v>261</v>
      </c>
      <c r="AC12" s="193"/>
    </row>
    <row r="13" spans="1:29" ht="14.4" x14ac:dyDescent="0.3">
      <c r="C13" s="1" t="s">
        <v>246</v>
      </c>
      <c r="G13" s="1" t="s">
        <v>223</v>
      </c>
      <c r="H13" s="4"/>
      <c r="I13" s="1" t="s">
        <v>177</v>
      </c>
      <c r="P13" s="3"/>
      <c r="Q13" s="3"/>
      <c r="AA13" s="192" t="s">
        <v>267</v>
      </c>
      <c r="AB13" s="192" t="s">
        <v>264</v>
      </c>
      <c r="AC13" s="193"/>
    </row>
    <row r="14" spans="1:29" ht="14.4" x14ac:dyDescent="0.3">
      <c r="C14" s="1" t="s">
        <v>247</v>
      </c>
      <c r="G14" s="1" t="s">
        <v>216</v>
      </c>
      <c r="H14" s="4"/>
      <c r="I14" s="1" t="s">
        <v>177</v>
      </c>
      <c r="P14" s="3"/>
      <c r="Q14" s="3"/>
      <c r="AA14" s="192" t="s">
        <v>268</v>
      </c>
      <c r="AB14" s="192" t="s">
        <v>265</v>
      </c>
      <c r="AC14" s="193"/>
    </row>
    <row r="15" spans="1:29" ht="14.4" x14ac:dyDescent="0.3">
      <c r="C15" s="1" t="s">
        <v>248</v>
      </c>
      <c r="G15" s="1" t="s">
        <v>216</v>
      </c>
      <c r="H15" s="4"/>
      <c r="I15" s="1" t="s">
        <v>177</v>
      </c>
      <c r="N15" s="18"/>
      <c r="P15" s="3"/>
      <c r="Q15" s="3"/>
      <c r="AA15" s="193"/>
      <c r="AB15" s="192" t="s">
        <v>269</v>
      </c>
      <c r="AC15" s="193"/>
    </row>
    <row r="16" spans="1:29" ht="14.4" x14ac:dyDescent="0.3">
      <c r="C16" s="1" t="s">
        <v>249</v>
      </c>
      <c r="G16" s="1" t="s">
        <v>216</v>
      </c>
      <c r="H16" s="4"/>
      <c r="I16" s="1" t="s">
        <v>177</v>
      </c>
      <c r="N16" s="18"/>
      <c r="P16" s="3"/>
      <c r="Q16" s="3"/>
      <c r="AA16" s="193"/>
      <c r="AB16" s="192" t="s">
        <v>270</v>
      </c>
      <c r="AC16" s="193"/>
    </row>
    <row r="17" spans="3:17" x14ac:dyDescent="0.25">
      <c r="C17" s="1" t="s">
        <v>250</v>
      </c>
      <c r="G17" s="1" t="s">
        <v>227</v>
      </c>
      <c r="H17" s="4"/>
      <c r="I17" s="1" t="s">
        <v>179</v>
      </c>
      <c r="N17" s="18"/>
      <c r="P17" s="3"/>
      <c r="Q17" s="3"/>
    </row>
    <row r="18" spans="3:17" x14ac:dyDescent="0.3">
      <c r="C18" s="1" t="s">
        <v>251</v>
      </c>
      <c r="G18" s="1" t="s">
        <v>223</v>
      </c>
      <c r="H18" s="4"/>
      <c r="I18" s="1" t="s">
        <v>179</v>
      </c>
      <c r="P18" s="3"/>
      <c r="Q18" s="3"/>
    </row>
    <row r="19" spans="3:17" x14ac:dyDescent="0.3">
      <c r="C19" s="1" t="s">
        <v>252</v>
      </c>
      <c r="G19" s="1" t="s">
        <v>223</v>
      </c>
      <c r="H19" s="4"/>
      <c r="I19" s="1" t="s">
        <v>177</v>
      </c>
      <c r="P19" s="3"/>
      <c r="Q19" s="3"/>
    </row>
    <row r="20" spans="3:17" x14ac:dyDescent="0.3">
      <c r="C20" s="1" t="s">
        <v>253</v>
      </c>
      <c r="G20" s="1" t="s">
        <v>170</v>
      </c>
      <c r="H20" s="4"/>
      <c r="I20" s="1" t="s">
        <v>168</v>
      </c>
      <c r="P20" s="3"/>
      <c r="Q20" s="3"/>
    </row>
    <row r="21" spans="3:17" x14ac:dyDescent="0.25">
      <c r="C21" s="1" t="s">
        <v>254</v>
      </c>
      <c r="G21" s="1" t="s">
        <v>170</v>
      </c>
      <c r="H21" s="4"/>
      <c r="I21" s="1" t="s">
        <v>168</v>
      </c>
      <c r="N21" s="18" t="s">
        <v>166</v>
      </c>
      <c r="P21" s="3"/>
      <c r="Q21" s="3"/>
    </row>
    <row r="22" spans="3:17" x14ac:dyDescent="0.25">
      <c r="C22" s="1" t="s">
        <v>255</v>
      </c>
      <c r="G22" s="1" t="s">
        <v>216</v>
      </c>
      <c r="H22" s="4"/>
      <c r="I22" s="1" t="s">
        <v>177</v>
      </c>
      <c r="N22" s="18" t="s">
        <v>167</v>
      </c>
      <c r="P22" s="3"/>
      <c r="Q22" s="3"/>
    </row>
    <row r="23" spans="3:17" x14ac:dyDescent="0.25">
      <c r="C23" s="1" t="s">
        <v>256</v>
      </c>
      <c r="G23" s="1" t="s">
        <v>170</v>
      </c>
      <c r="H23" s="4"/>
      <c r="I23" s="1" t="s">
        <v>168</v>
      </c>
      <c r="N23" s="18" t="s">
        <v>257</v>
      </c>
      <c r="P23" s="3"/>
      <c r="Q23" s="3"/>
    </row>
    <row r="24" spans="3:17" x14ac:dyDescent="0.3">
      <c r="C24" s="1" t="s">
        <v>258</v>
      </c>
      <c r="G24" s="1" t="s">
        <v>227</v>
      </c>
      <c r="H24" s="4"/>
      <c r="I24" s="1" t="s">
        <v>179</v>
      </c>
      <c r="P24" s="3"/>
      <c r="Q24" s="3"/>
    </row>
    <row r="25" spans="3:17" x14ac:dyDescent="0.3">
      <c r="C25" s="1" t="s">
        <v>259</v>
      </c>
      <c r="G25" s="1" t="s">
        <v>227</v>
      </c>
      <c r="H25" s="4"/>
      <c r="I25" s="1" t="s">
        <v>179</v>
      </c>
      <c r="P25" s="3"/>
      <c r="Q25" s="3"/>
    </row>
    <row r="26" spans="3:17" x14ac:dyDescent="0.3">
      <c r="C26" s="1" t="s">
        <v>260</v>
      </c>
      <c r="G26" s="1" t="s">
        <v>227</v>
      </c>
      <c r="H26" s="4"/>
      <c r="I26" s="1" t="s">
        <v>179</v>
      </c>
      <c r="P26" s="3"/>
      <c r="Q26" s="3"/>
    </row>
    <row r="27" spans="3:17" x14ac:dyDescent="0.25">
      <c r="C27" s="1" t="s">
        <v>261</v>
      </c>
      <c r="G27" s="1" t="s">
        <v>227</v>
      </c>
      <c r="H27" s="4"/>
      <c r="I27" s="1" t="s">
        <v>179</v>
      </c>
      <c r="N27" s="18"/>
      <c r="P27" s="3"/>
      <c r="Q27" s="3"/>
    </row>
    <row r="28" spans="3:17" x14ac:dyDescent="0.25">
      <c r="C28" s="1" t="s">
        <v>262</v>
      </c>
      <c r="G28" s="1" t="s">
        <v>216</v>
      </c>
      <c r="H28" s="4"/>
      <c r="I28" s="1" t="s">
        <v>177</v>
      </c>
      <c r="N28" s="18"/>
      <c r="P28" s="3"/>
      <c r="Q28" s="3"/>
    </row>
    <row r="29" spans="3:17" x14ac:dyDescent="0.25">
      <c r="C29" s="1" t="s">
        <v>263</v>
      </c>
      <c r="G29" s="1" t="s">
        <v>227</v>
      </c>
      <c r="H29" s="4"/>
      <c r="I29" s="1" t="s">
        <v>179</v>
      </c>
      <c r="N29" s="18"/>
      <c r="P29" s="3"/>
      <c r="Q29" s="3"/>
    </row>
    <row r="30" spans="3:17" x14ac:dyDescent="0.25">
      <c r="C30" s="1" t="s">
        <v>264</v>
      </c>
      <c r="G30" s="1" t="s">
        <v>227</v>
      </c>
      <c r="H30" s="4"/>
      <c r="I30" s="1" t="s">
        <v>179</v>
      </c>
      <c r="N30" s="18"/>
      <c r="P30" s="3"/>
      <c r="Q30" s="3"/>
    </row>
    <row r="31" spans="3:17" x14ac:dyDescent="0.25">
      <c r="C31" s="1" t="s">
        <v>265</v>
      </c>
      <c r="G31" s="1" t="s">
        <v>227</v>
      </c>
      <c r="H31" s="4"/>
      <c r="I31" s="1" t="s">
        <v>179</v>
      </c>
      <c r="N31" s="18"/>
      <c r="P31" s="3"/>
      <c r="Q31" s="3"/>
    </row>
    <row r="32" spans="3:17" x14ac:dyDescent="0.25">
      <c r="C32" s="1" t="s">
        <v>266</v>
      </c>
      <c r="G32" s="1" t="s">
        <v>216</v>
      </c>
      <c r="H32" s="4"/>
      <c r="I32" s="1" t="s">
        <v>177</v>
      </c>
      <c r="N32" s="18"/>
      <c r="P32" s="3"/>
      <c r="Q32" s="3"/>
    </row>
    <row r="33" spans="3:22" x14ac:dyDescent="0.25">
      <c r="C33" s="1" t="s">
        <v>267</v>
      </c>
      <c r="G33" s="1" t="s">
        <v>216</v>
      </c>
      <c r="H33" s="4"/>
      <c r="I33" s="1" t="s">
        <v>177</v>
      </c>
      <c r="N33" s="18"/>
      <c r="P33" s="3"/>
      <c r="Q33" s="3"/>
    </row>
    <row r="34" spans="3:22" x14ac:dyDescent="0.25">
      <c r="C34" s="1" t="s">
        <v>268</v>
      </c>
      <c r="G34" s="1" t="s">
        <v>216</v>
      </c>
      <c r="H34" s="4"/>
      <c r="I34" s="1" t="s">
        <v>177</v>
      </c>
      <c r="N34" s="18"/>
      <c r="P34" s="3"/>
      <c r="Q34" s="3"/>
    </row>
    <row r="35" spans="3:22" x14ac:dyDescent="0.3">
      <c r="C35" s="1" t="s">
        <v>269</v>
      </c>
      <c r="G35" s="1" t="s">
        <v>227</v>
      </c>
      <c r="H35" s="4"/>
      <c r="I35" s="1" t="s">
        <v>179</v>
      </c>
      <c r="P35" s="3"/>
      <c r="Q35" s="3"/>
    </row>
    <row r="36" spans="3:22" x14ac:dyDescent="0.3">
      <c r="C36" s="1" t="s">
        <v>270</v>
      </c>
      <c r="G36" s="1" t="s">
        <v>227</v>
      </c>
      <c r="H36" s="4"/>
      <c r="I36" s="1" t="s">
        <v>179</v>
      </c>
      <c r="P36" s="3"/>
      <c r="Q36" s="3"/>
    </row>
    <row r="37" spans="3:22" x14ac:dyDescent="0.3">
      <c r="H37" s="4"/>
      <c r="P37" s="3"/>
      <c r="Q37" s="3" t="s">
        <v>271</v>
      </c>
    </row>
    <row r="38" spans="3:22" x14ac:dyDescent="0.25">
      <c r="H38" s="4"/>
      <c r="N38" s="43" t="s">
        <v>272</v>
      </c>
      <c r="P38" s="3"/>
      <c r="Q38" s="144">
        <v>1</v>
      </c>
      <c r="R38" s="158" t="e">
        <f>AVERAGE('Audit Form'!E57:E70)</f>
        <v>#DIV/0!</v>
      </c>
    </row>
    <row r="39" spans="3:22" x14ac:dyDescent="0.25">
      <c r="H39" s="4"/>
      <c r="N39" s="18" t="s">
        <v>273</v>
      </c>
      <c r="P39" s="3"/>
      <c r="Q39" s="144">
        <v>2</v>
      </c>
      <c r="R39" s="4"/>
    </row>
    <row r="40" spans="3:22" x14ac:dyDescent="0.25">
      <c r="H40" s="4"/>
      <c r="N40" s="18" t="s">
        <v>274</v>
      </c>
      <c r="P40" s="3"/>
      <c r="Q40" s="144">
        <v>3</v>
      </c>
    </row>
    <row r="41" spans="3:22" x14ac:dyDescent="0.25">
      <c r="H41" s="4"/>
      <c r="N41" s="18" t="s">
        <v>275</v>
      </c>
      <c r="P41" s="3"/>
      <c r="Q41" s="144">
        <v>4</v>
      </c>
    </row>
    <row r="42" spans="3:22" x14ac:dyDescent="0.25">
      <c r="H42" s="4"/>
      <c r="N42" s="18" t="s">
        <v>276</v>
      </c>
      <c r="P42" s="3"/>
      <c r="Q42" s="144">
        <v>5</v>
      </c>
    </row>
    <row r="43" spans="3:22" x14ac:dyDescent="0.25">
      <c r="H43" s="4"/>
      <c r="N43" s="18" t="s">
        <v>277</v>
      </c>
      <c r="P43" s="3"/>
      <c r="Q43" s="3"/>
    </row>
    <row r="44" spans="3:22" x14ac:dyDescent="0.25">
      <c r="H44" s="4"/>
      <c r="N44" s="18" t="s">
        <v>278</v>
      </c>
      <c r="P44" s="3"/>
      <c r="Q44" s="3"/>
    </row>
    <row r="45" spans="3:22" x14ac:dyDescent="0.25">
      <c r="H45" s="4"/>
      <c r="N45" s="18" t="s">
        <v>279</v>
      </c>
      <c r="P45" s="3"/>
      <c r="Q45" s="3"/>
    </row>
    <row r="46" spans="3:22" x14ac:dyDescent="0.25">
      <c r="H46" s="4"/>
      <c r="N46" s="18" t="s">
        <v>280</v>
      </c>
      <c r="P46" s="3"/>
      <c r="Q46" s="3"/>
    </row>
    <row r="47" spans="3:22" x14ac:dyDescent="0.25">
      <c r="H47" s="4"/>
      <c r="N47" s="18" t="s">
        <v>281</v>
      </c>
      <c r="P47" s="3"/>
      <c r="Q47" s="3"/>
    </row>
    <row r="48" spans="3:22" x14ac:dyDescent="0.25">
      <c r="H48" s="4"/>
      <c r="N48" s="18" t="s">
        <v>282</v>
      </c>
      <c r="P48" s="3"/>
      <c r="Q48" s="3"/>
      <c r="V48" s="3"/>
    </row>
    <row r="49" spans="8:17" x14ac:dyDescent="0.25">
      <c r="H49" s="4"/>
      <c r="N49" s="18" t="s">
        <v>283</v>
      </c>
      <c r="P49" s="3"/>
      <c r="Q49" s="3"/>
    </row>
    <row r="50" spans="8:17" x14ac:dyDescent="0.25">
      <c r="H50" s="4"/>
      <c r="N50" s="18" t="s">
        <v>284</v>
      </c>
      <c r="P50" s="3"/>
      <c r="Q50" s="3"/>
    </row>
    <row r="51" spans="8:17" x14ac:dyDescent="0.25">
      <c r="H51" s="4"/>
      <c r="N51" s="18" t="s">
        <v>285</v>
      </c>
      <c r="P51" s="3"/>
      <c r="Q51" s="3"/>
    </row>
    <row r="52" spans="8:17" x14ac:dyDescent="0.3">
      <c r="H52" s="4"/>
      <c r="P52" s="3"/>
      <c r="Q52" s="3"/>
    </row>
    <row r="53" spans="8:17" x14ac:dyDescent="0.3">
      <c r="H53" s="4"/>
      <c r="P53" s="3"/>
      <c r="Q53" s="3"/>
    </row>
    <row r="54" spans="8:17" x14ac:dyDescent="0.3">
      <c r="H54" s="4"/>
      <c r="P54" s="3"/>
      <c r="Q54" s="3"/>
    </row>
    <row r="55" spans="8:17" x14ac:dyDescent="0.25">
      <c r="H55" s="4"/>
      <c r="N55" s="43" t="s">
        <v>286</v>
      </c>
      <c r="P55" s="3"/>
      <c r="Q55" s="3"/>
    </row>
    <row r="56" spans="8:17" x14ac:dyDescent="0.25">
      <c r="H56" s="4"/>
      <c r="N56" s="18" t="s">
        <v>287</v>
      </c>
      <c r="P56" s="3"/>
      <c r="Q56" s="3"/>
    </row>
    <row r="57" spans="8:17" x14ac:dyDescent="0.25">
      <c r="H57" s="4"/>
      <c r="N57" s="18" t="s">
        <v>80</v>
      </c>
      <c r="P57" s="3"/>
      <c r="Q57" s="3"/>
    </row>
    <row r="58" spans="8:17" x14ac:dyDescent="0.25">
      <c r="H58" s="4"/>
      <c r="N58" s="18" t="s">
        <v>288</v>
      </c>
      <c r="P58" s="3"/>
      <c r="Q58" s="3"/>
    </row>
    <row r="59" spans="8:17" x14ac:dyDescent="0.25">
      <c r="H59" s="4"/>
      <c r="N59" s="18" t="s">
        <v>289</v>
      </c>
      <c r="P59" s="3"/>
      <c r="Q59" s="3"/>
    </row>
    <row r="60" spans="8:17" x14ac:dyDescent="0.25">
      <c r="H60" s="4"/>
      <c r="N60" s="18" t="s">
        <v>290</v>
      </c>
      <c r="P60" s="3"/>
      <c r="Q60" s="3"/>
    </row>
    <row r="61" spans="8:17" x14ac:dyDescent="0.25">
      <c r="H61" s="4"/>
      <c r="N61" s="18" t="s">
        <v>291</v>
      </c>
      <c r="P61" s="3"/>
      <c r="Q61" s="3"/>
    </row>
    <row r="62" spans="8:17" x14ac:dyDescent="0.25">
      <c r="H62" s="4"/>
      <c r="N62" s="18" t="s">
        <v>292</v>
      </c>
      <c r="P62" s="3"/>
      <c r="Q62" s="3"/>
    </row>
    <row r="63" spans="8:17" x14ac:dyDescent="0.3">
      <c r="H63" s="4"/>
      <c r="P63" s="3"/>
      <c r="Q63" s="3"/>
    </row>
    <row r="64" spans="8:17" x14ac:dyDescent="0.3">
      <c r="H64" s="4"/>
      <c r="P64" s="3"/>
      <c r="Q64" s="3"/>
    </row>
    <row r="65" spans="8:17" x14ac:dyDescent="0.3">
      <c r="H65" s="4"/>
      <c r="P65" s="3"/>
      <c r="Q65" s="3"/>
    </row>
    <row r="66" spans="8:17" x14ac:dyDescent="0.3">
      <c r="H66" s="4"/>
      <c r="P66" s="3"/>
      <c r="Q66" s="3"/>
    </row>
    <row r="67" spans="8:17" x14ac:dyDescent="0.3">
      <c r="H67" s="4"/>
      <c r="P67" s="3"/>
      <c r="Q67" s="3"/>
    </row>
    <row r="68" spans="8:17" x14ac:dyDescent="0.3">
      <c r="H68" s="4"/>
      <c r="P68" s="3"/>
      <c r="Q68" s="3"/>
    </row>
    <row r="69" spans="8:17" x14ac:dyDescent="0.3">
      <c r="H69" s="4"/>
      <c r="P69" s="3"/>
      <c r="Q69" s="3"/>
    </row>
    <row r="70" spans="8:17" x14ac:dyDescent="0.3">
      <c r="H70" s="4"/>
      <c r="P70" s="3"/>
      <c r="Q70" s="3"/>
    </row>
    <row r="71" spans="8:17" x14ac:dyDescent="0.3">
      <c r="H71" s="4"/>
      <c r="P71" s="3"/>
      <c r="Q71" s="3"/>
    </row>
    <row r="72" spans="8:17" x14ac:dyDescent="0.3">
      <c r="H72" s="4"/>
      <c r="P72" s="3"/>
      <c r="Q72" s="3"/>
    </row>
    <row r="73" spans="8:17" x14ac:dyDescent="0.3">
      <c r="H73" s="4"/>
      <c r="P73" s="3"/>
      <c r="Q73" s="3"/>
    </row>
    <row r="74" spans="8:17" x14ac:dyDescent="0.3">
      <c r="H74" s="4"/>
      <c r="P74" s="3"/>
      <c r="Q74" s="3"/>
    </row>
    <row r="75" spans="8:17" x14ac:dyDescent="0.3">
      <c r="H75" s="4"/>
      <c r="P75" s="3"/>
      <c r="Q75" s="3"/>
    </row>
    <row r="76" spans="8:17" x14ac:dyDescent="0.3">
      <c r="H76" s="4"/>
      <c r="P76" s="3"/>
      <c r="Q76" s="3"/>
    </row>
    <row r="77" spans="8:17" x14ac:dyDescent="0.3">
      <c r="H77" s="4"/>
      <c r="P77" s="3"/>
      <c r="Q77" s="3"/>
    </row>
    <row r="78" spans="8:17" x14ac:dyDescent="0.3">
      <c r="H78" s="4"/>
      <c r="P78" s="3"/>
      <c r="Q78" s="3"/>
    </row>
    <row r="79" spans="8:17" x14ac:dyDescent="0.3">
      <c r="H79" s="4"/>
      <c r="P79" s="3"/>
      <c r="Q79" s="3"/>
    </row>
    <row r="80" spans="8:17" x14ac:dyDescent="0.3">
      <c r="H80" s="4"/>
      <c r="P80" s="3"/>
      <c r="Q80" s="3"/>
    </row>
    <row r="81" spans="8:17" x14ac:dyDescent="0.3">
      <c r="H81" s="4"/>
      <c r="P81" s="3"/>
      <c r="Q81" s="3"/>
    </row>
    <row r="82" spans="8:17" x14ac:dyDescent="0.3">
      <c r="H82" s="4"/>
      <c r="P82" s="3"/>
      <c r="Q82" s="3"/>
    </row>
    <row r="83" spans="8:17" x14ac:dyDescent="0.3">
      <c r="H83" s="4"/>
      <c r="P83" s="3"/>
      <c r="Q83" s="3"/>
    </row>
    <row r="84" spans="8:17" x14ac:dyDescent="0.3">
      <c r="H84" s="4"/>
      <c r="P84" s="3"/>
      <c r="Q84" s="3"/>
    </row>
    <row r="85" spans="8:17" x14ac:dyDescent="0.3">
      <c r="H85" s="4"/>
      <c r="P85" s="3"/>
      <c r="Q85" s="3"/>
    </row>
    <row r="86" spans="8:17" x14ac:dyDescent="0.3">
      <c r="H86" s="4"/>
      <c r="P86" s="3"/>
      <c r="Q86" s="3"/>
    </row>
    <row r="87" spans="8:17" x14ac:dyDescent="0.3">
      <c r="H87" s="4"/>
      <c r="P87" s="3"/>
      <c r="Q87" s="3"/>
    </row>
    <row r="88" spans="8:17" x14ac:dyDescent="0.3">
      <c r="H88" s="4"/>
      <c r="P88" s="3"/>
      <c r="Q88" s="3"/>
    </row>
    <row r="89" spans="8:17" x14ac:dyDescent="0.3">
      <c r="H89" s="4"/>
      <c r="P89" s="3"/>
      <c r="Q89" s="3"/>
    </row>
    <row r="90" spans="8:17" x14ac:dyDescent="0.3">
      <c r="H90" s="4"/>
      <c r="P90" s="3"/>
      <c r="Q90" s="3"/>
    </row>
    <row r="91" spans="8:17" x14ac:dyDescent="0.3">
      <c r="H91" s="4"/>
      <c r="P91" s="3"/>
      <c r="Q91" s="3"/>
    </row>
    <row r="92" spans="8:17" x14ac:dyDescent="0.3">
      <c r="H92" s="4"/>
      <c r="P92" s="3"/>
      <c r="Q92" s="3"/>
    </row>
    <row r="93" spans="8:17" x14ac:dyDescent="0.3">
      <c r="H93" s="4"/>
      <c r="P93" s="3"/>
      <c r="Q93" s="3"/>
    </row>
    <row r="94" spans="8:17" x14ac:dyDescent="0.3">
      <c r="H94" s="4"/>
      <c r="P94" s="3"/>
      <c r="Q94" s="3"/>
    </row>
    <row r="95" spans="8:17" x14ac:dyDescent="0.3">
      <c r="H95" s="4"/>
      <c r="P95" s="3"/>
      <c r="Q95" s="3"/>
    </row>
    <row r="96" spans="8:17" x14ac:dyDescent="0.3">
      <c r="H96" s="4"/>
      <c r="P96" s="3"/>
      <c r="Q96" s="3"/>
    </row>
    <row r="97" spans="8:17" x14ac:dyDescent="0.3">
      <c r="H97" s="4"/>
      <c r="P97" s="3"/>
      <c r="Q97" s="3"/>
    </row>
    <row r="98" spans="8:17" x14ac:dyDescent="0.3">
      <c r="H98" s="4"/>
      <c r="P98" s="3"/>
      <c r="Q98" s="3"/>
    </row>
    <row r="99" spans="8:17" x14ac:dyDescent="0.3">
      <c r="H99" s="4"/>
      <c r="P99" s="3"/>
      <c r="Q99" s="3"/>
    </row>
    <row r="100" spans="8:17" x14ac:dyDescent="0.3">
      <c r="H100" s="4"/>
      <c r="P100" s="3"/>
      <c r="Q100" s="3"/>
    </row>
    <row r="101" spans="8:17" x14ac:dyDescent="0.3">
      <c r="H101" s="4"/>
      <c r="P101" s="3"/>
      <c r="Q101" s="3"/>
    </row>
    <row r="102" spans="8:17" x14ac:dyDescent="0.3">
      <c r="H102" s="4"/>
      <c r="P102" s="3"/>
      <c r="Q102" s="3"/>
    </row>
    <row r="103" spans="8:17" x14ac:dyDescent="0.3">
      <c r="H103" s="4"/>
      <c r="P103" s="3"/>
      <c r="Q103" s="3"/>
    </row>
    <row r="104" spans="8:17" x14ac:dyDescent="0.3">
      <c r="H104" s="4"/>
      <c r="P104" s="3"/>
      <c r="Q104" s="3"/>
    </row>
    <row r="105" spans="8:17" x14ac:dyDescent="0.3">
      <c r="H105" s="4"/>
      <c r="P105" s="3"/>
      <c r="Q105" s="3"/>
    </row>
    <row r="106" spans="8:17" x14ac:dyDescent="0.3">
      <c r="H106" s="4"/>
      <c r="P106" s="3"/>
      <c r="Q106" s="3"/>
    </row>
    <row r="107" spans="8:17" x14ac:dyDescent="0.3">
      <c r="H107" s="4"/>
      <c r="P107" s="3"/>
      <c r="Q107" s="3"/>
    </row>
    <row r="108" spans="8:17" x14ac:dyDescent="0.3">
      <c r="H108" s="4"/>
      <c r="P108" s="3"/>
      <c r="Q108" s="3"/>
    </row>
    <row r="109" spans="8:17" x14ac:dyDescent="0.3">
      <c r="H109" s="4"/>
      <c r="P109" s="3"/>
      <c r="Q109" s="3"/>
    </row>
    <row r="110" spans="8:17" x14ac:dyDescent="0.3">
      <c r="H110" s="4"/>
      <c r="P110" s="3"/>
      <c r="Q110" s="3"/>
    </row>
    <row r="111" spans="8:17" x14ac:dyDescent="0.3">
      <c r="H111" s="4"/>
      <c r="P111" s="3"/>
      <c r="Q111" s="3"/>
    </row>
    <row r="112" spans="8:17" x14ac:dyDescent="0.3">
      <c r="H112" s="4"/>
      <c r="P112" s="3"/>
      <c r="Q112" s="3"/>
    </row>
    <row r="113" spans="8:17" x14ac:dyDescent="0.3">
      <c r="H113" s="4"/>
      <c r="P113" s="3"/>
      <c r="Q113" s="3"/>
    </row>
    <row r="114" spans="8:17" x14ac:dyDescent="0.3">
      <c r="H114" s="4"/>
      <c r="P114" s="3"/>
      <c r="Q114" s="3"/>
    </row>
    <row r="115" spans="8:17" x14ac:dyDescent="0.3">
      <c r="H115" s="4"/>
      <c r="P115" s="3"/>
      <c r="Q115" s="3"/>
    </row>
    <row r="116" spans="8:17" x14ac:dyDescent="0.3">
      <c r="H116" s="4"/>
      <c r="P116" s="3"/>
      <c r="Q116" s="3"/>
    </row>
    <row r="117" spans="8:17" x14ac:dyDescent="0.3">
      <c r="H117" s="4"/>
      <c r="P117" s="3"/>
      <c r="Q117" s="3"/>
    </row>
    <row r="118" spans="8:17" x14ac:dyDescent="0.3">
      <c r="H118" s="4"/>
      <c r="P118" s="3"/>
      <c r="Q118" s="3"/>
    </row>
    <row r="119" spans="8:17" x14ac:dyDescent="0.3">
      <c r="H119" s="4"/>
      <c r="P119" s="3"/>
      <c r="Q119" s="3"/>
    </row>
    <row r="120" spans="8:17" x14ac:dyDescent="0.3">
      <c r="H120" s="4"/>
      <c r="P120" s="3"/>
      <c r="Q120" s="3"/>
    </row>
    <row r="121" spans="8:17" x14ac:dyDescent="0.3">
      <c r="H121" s="4"/>
      <c r="P121" s="3"/>
      <c r="Q121" s="3"/>
    </row>
    <row r="122" spans="8:17" x14ac:dyDescent="0.3">
      <c r="H122" s="4"/>
      <c r="P122" s="3"/>
      <c r="Q122" s="3"/>
    </row>
    <row r="123" spans="8:17" x14ac:dyDescent="0.3">
      <c r="H123" s="4"/>
      <c r="P123" s="3"/>
      <c r="Q123" s="3"/>
    </row>
    <row r="124" spans="8:17" x14ac:dyDescent="0.3">
      <c r="H124" s="4"/>
      <c r="P124" s="3"/>
      <c r="Q124" s="3"/>
    </row>
    <row r="125" spans="8:17" x14ac:dyDescent="0.3">
      <c r="H125" s="4"/>
      <c r="P125" s="3"/>
      <c r="Q125" s="3"/>
    </row>
    <row r="126" spans="8:17" x14ac:dyDescent="0.3">
      <c r="H126" s="4"/>
      <c r="P126" s="3"/>
      <c r="Q126" s="3"/>
    </row>
    <row r="127" spans="8:17" x14ac:dyDescent="0.3">
      <c r="H127" s="4"/>
      <c r="P127" s="3"/>
      <c r="Q127" s="3"/>
    </row>
    <row r="128" spans="8:17" x14ac:dyDescent="0.3">
      <c r="H128" s="4"/>
      <c r="P128" s="3"/>
      <c r="Q128" s="3"/>
    </row>
    <row r="129" spans="8:17" x14ac:dyDescent="0.3">
      <c r="H129" s="4"/>
      <c r="P129" s="3"/>
      <c r="Q129" s="3"/>
    </row>
    <row r="130" spans="8:17" x14ac:dyDescent="0.3">
      <c r="H130" s="4"/>
      <c r="P130" s="3"/>
      <c r="Q130" s="3"/>
    </row>
    <row r="131" spans="8:17" x14ac:dyDescent="0.3">
      <c r="H131" s="4"/>
      <c r="P131" s="3"/>
      <c r="Q131" s="3"/>
    </row>
    <row r="132" spans="8:17" x14ac:dyDescent="0.3">
      <c r="H132" s="4"/>
      <c r="P132" s="3"/>
      <c r="Q132" s="3"/>
    </row>
    <row r="133" spans="8:17" x14ac:dyDescent="0.3">
      <c r="H133" s="4"/>
      <c r="P133" s="3"/>
      <c r="Q133" s="3"/>
    </row>
    <row r="134" spans="8:17" x14ac:dyDescent="0.3">
      <c r="H134" s="4"/>
      <c r="P134" s="3"/>
      <c r="Q134" s="3"/>
    </row>
    <row r="135" spans="8:17" x14ac:dyDescent="0.3">
      <c r="H135" s="4"/>
      <c r="P135" s="3"/>
      <c r="Q135" s="3"/>
    </row>
    <row r="136" spans="8:17" x14ac:dyDescent="0.3">
      <c r="H136" s="4"/>
      <c r="P136" s="3"/>
      <c r="Q136" s="3"/>
    </row>
    <row r="137" spans="8:17" x14ac:dyDescent="0.3">
      <c r="H137" s="4"/>
      <c r="P137" s="3"/>
      <c r="Q137" s="3"/>
    </row>
    <row r="138" spans="8:17" x14ac:dyDescent="0.3">
      <c r="H138" s="4"/>
      <c r="P138" s="3"/>
      <c r="Q138" s="3"/>
    </row>
    <row r="139" spans="8:17" x14ac:dyDescent="0.3">
      <c r="H139" s="4"/>
      <c r="P139" s="3"/>
      <c r="Q139" s="3"/>
    </row>
    <row r="140" spans="8:17" x14ac:dyDescent="0.3">
      <c r="H140" s="4"/>
      <c r="P140" s="3"/>
      <c r="Q140" s="3"/>
    </row>
    <row r="141" spans="8:17" x14ac:dyDescent="0.3">
      <c r="H141" s="4"/>
      <c r="P141" s="3"/>
      <c r="Q141" s="3"/>
    </row>
    <row r="142" spans="8:17" x14ac:dyDescent="0.3">
      <c r="H142" s="4"/>
      <c r="P142" s="3"/>
      <c r="Q142" s="3"/>
    </row>
    <row r="143" spans="8:17" x14ac:dyDescent="0.3">
      <c r="H143" s="4"/>
      <c r="P143" s="3"/>
      <c r="Q143" s="3"/>
    </row>
    <row r="144" spans="8:17" x14ac:dyDescent="0.3">
      <c r="H144" s="4"/>
      <c r="P144" s="3"/>
      <c r="Q144" s="3"/>
    </row>
    <row r="145" spans="8:17" x14ac:dyDescent="0.3">
      <c r="H145" s="4"/>
      <c r="P145" s="3"/>
      <c r="Q145" s="3"/>
    </row>
    <row r="146" spans="8:17" x14ac:dyDescent="0.3">
      <c r="H146" s="4"/>
      <c r="P146" s="3"/>
      <c r="Q146" s="3"/>
    </row>
    <row r="147" spans="8:17" x14ac:dyDescent="0.3">
      <c r="H147" s="4"/>
      <c r="P147" s="3"/>
      <c r="Q147" s="3"/>
    </row>
    <row r="148" spans="8:17" x14ac:dyDescent="0.3">
      <c r="H148" s="4"/>
      <c r="P148" s="3"/>
      <c r="Q148" s="3"/>
    </row>
    <row r="149" spans="8:17" x14ac:dyDescent="0.3">
      <c r="H149" s="4"/>
      <c r="P149" s="3"/>
      <c r="Q149" s="3"/>
    </row>
    <row r="150" spans="8:17" x14ac:dyDescent="0.3">
      <c r="H150" s="4"/>
      <c r="P150" s="3"/>
      <c r="Q150" s="3"/>
    </row>
    <row r="151" spans="8:17" x14ac:dyDescent="0.3">
      <c r="H151" s="4"/>
      <c r="P151" s="3"/>
      <c r="Q151" s="3"/>
    </row>
    <row r="152" spans="8:17" x14ac:dyDescent="0.3">
      <c r="H152" s="4"/>
      <c r="P152" s="3"/>
      <c r="Q152" s="3"/>
    </row>
    <row r="153" spans="8:17" x14ac:dyDescent="0.3">
      <c r="H153" s="4"/>
      <c r="P153" s="3"/>
      <c r="Q153" s="3"/>
    </row>
    <row r="154" spans="8:17" x14ac:dyDescent="0.3">
      <c r="H154" s="4"/>
      <c r="P154" s="3"/>
      <c r="Q154" s="3"/>
    </row>
    <row r="155" spans="8:17" x14ac:dyDescent="0.3">
      <c r="H155" s="4"/>
      <c r="P155" s="3"/>
      <c r="Q155" s="3"/>
    </row>
    <row r="156" spans="8:17" x14ac:dyDescent="0.3">
      <c r="H156" s="4"/>
      <c r="P156" s="3"/>
      <c r="Q156" s="3"/>
    </row>
    <row r="157" spans="8:17" x14ac:dyDescent="0.3">
      <c r="H157" s="4"/>
      <c r="P157" s="3"/>
      <c r="Q157" s="3"/>
    </row>
    <row r="158" spans="8:17" x14ac:dyDescent="0.3">
      <c r="H158" s="4"/>
      <c r="P158" s="3"/>
      <c r="Q158" s="3"/>
    </row>
    <row r="159" spans="8:17" x14ac:dyDescent="0.3">
      <c r="H159" s="4"/>
      <c r="P159" s="3"/>
      <c r="Q159" s="3"/>
    </row>
    <row r="160" spans="8:17" x14ac:dyDescent="0.3">
      <c r="H160" s="4"/>
      <c r="P160" s="3"/>
      <c r="Q160" s="3"/>
    </row>
    <row r="161" spans="8:17" x14ac:dyDescent="0.3">
      <c r="H161" s="4"/>
      <c r="P161" s="3"/>
      <c r="Q161" s="3"/>
    </row>
    <row r="162" spans="8:17" x14ac:dyDescent="0.3">
      <c r="H162" s="4"/>
      <c r="P162" s="3"/>
      <c r="Q162" s="3"/>
    </row>
    <row r="163" spans="8:17" x14ac:dyDescent="0.3">
      <c r="H163" s="4"/>
      <c r="P163" s="3"/>
      <c r="Q163" s="3"/>
    </row>
    <row r="164" spans="8:17" x14ac:dyDescent="0.3">
      <c r="H164" s="4"/>
      <c r="P164" s="3"/>
      <c r="Q164" s="3"/>
    </row>
    <row r="165" spans="8:17" x14ac:dyDescent="0.3">
      <c r="H165" s="4"/>
      <c r="P165" s="3"/>
      <c r="Q165" s="3"/>
    </row>
    <row r="166" spans="8:17" x14ac:dyDescent="0.3">
      <c r="H166" s="4"/>
      <c r="P166" s="3"/>
      <c r="Q166" s="3"/>
    </row>
    <row r="167" spans="8:17" x14ac:dyDescent="0.3">
      <c r="H167" s="4"/>
      <c r="P167" s="3"/>
      <c r="Q167" s="3"/>
    </row>
    <row r="168" spans="8:17" x14ac:dyDescent="0.3">
      <c r="H168" s="4"/>
      <c r="P168" s="3"/>
      <c r="Q168" s="3"/>
    </row>
    <row r="169" spans="8:17" x14ac:dyDescent="0.3">
      <c r="H169" s="4"/>
      <c r="P169" s="3"/>
      <c r="Q169" s="3"/>
    </row>
    <row r="170" spans="8:17" x14ac:dyDescent="0.3">
      <c r="H170" s="4"/>
      <c r="P170" s="3"/>
      <c r="Q170" s="3"/>
    </row>
    <row r="171" spans="8:17" x14ac:dyDescent="0.3">
      <c r="H171" s="4"/>
      <c r="P171" s="3"/>
      <c r="Q171" s="3"/>
    </row>
    <row r="172" spans="8:17" x14ac:dyDescent="0.3">
      <c r="H172" s="4"/>
      <c r="P172" s="3"/>
      <c r="Q172" s="3"/>
    </row>
    <row r="173" spans="8:17" x14ac:dyDescent="0.3">
      <c r="H173" s="4"/>
      <c r="P173" s="3"/>
      <c r="Q173" s="3"/>
    </row>
    <row r="174" spans="8:17" x14ac:dyDescent="0.3">
      <c r="H174" s="4"/>
      <c r="P174" s="3"/>
      <c r="Q174" s="3"/>
    </row>
    <row r="175" spans="8:17" x14ac:dyDescent="0.3">
      <c r="H175" s="4"/>
      <c r="P175" s="3"/>
      <c r="Q175" s="3"/>
    </row>
    <row r="176" spans="8:17" x14ac:dyDescent="0.3">
      <c r="H176" s="4"/>
      <c r="P176" s="3"/>
      <c r="Q176" s="3"/>
    </row>
    <row r="177" spans="8:17" x14ac:dyDescent="0.3">
      <c r="H177" s="4"/>
      <c r="P177" s="3"/>
      <c r="Q177" s="3"/>
    </row>
    <row r="178" spans="8:17" x14ac:dyDescent="0.3">
      <c r="H178" s="4"/>
      <c r="P178" s="3"/>
      <c r="Q178" s="3"/>
    </row>
    <row r="179" spans="8:17" x14ac:dyDescent="0.3">
      <c r="H179" s="4"/>
      <c r="P179" s="3"/>
      <c r="Q179" s="3"/>
    </row>
    <row r="180" spans="8:17" x14ac:dyDescent="0.3">
      <c r="H180" s="4"/>
      <c r="P180" s="3"/>
      <c r="Q180" s="3"/>
    </row>
    <row r="181" spans="8:17" x14ac:dyDescent="0.3">
      <c r="H181" s="4"/>
      <c r="P181" s="3"/>
      <c r="Q181" s="3"/>
    </row>
    <row r="182" spans="8:17" x14ac:dyDescent="0.3">
      <c r="H182" s="4"/>
      <c r="P182" s="3"/>
      <c r="Q182" s="3"/>
    </row>
    <row r="183" spans="8:17" x14ac:dyDescent="0.3">
      <c r="H183" s="4"/>
      <c r="P183" s="3"/>
      <c r="Q183" s="3"/>
    </row>
    <row r="184" spans="8:17" x14ac:dyDescent="0.3">
      <c r="H184" s="4"/>
      <c r="P184" s="3"/>
      <c r="Q184" s="3"/>
    </row>
    <row r="185" spans="8:17" x14ac:dyDescent="0.3">
      <c r="H185" s="4"/>
      <c r="P185" s="3"/>
      <c r="Q185" s="3"/>
    </row>
    <row r="186" spans="8:17" x14ac:dyDescent="0.3">
      <c r="H186" s="4"/>
      <c r="P186" s="3"/>
      <c r="Q186" s="3"/>
    </row>
    <row r="187" spans="8:17" x14ac:dyDescent="0.3">
      <c r="H187" s="4"/>
      <c r="P187" s="3"/>
      <c r="Q187" s="3"/>
    </row>
    <row r="188" spans="8:17" x14ac:dyDescent="0.3">
      <c r="H188" s="4"/>
      <c r="P188" s="3"/>
      <c r="Q188" s="3"/>
    </row>
    <row r="189" spans="8:17" x14ac:dyDescent="0.3">
      <c r="H189" s="4"/>
      <c r="P189" s="3"/>
      <c r="Q189" s="3"/>
    </row>
    <row r="190" spans="8:17" x14ac:dyDescent="0.3">
      <c r="H190" s="4"/>
      <c r="P190" s="3"/>
      <c r="Q190" s="3"/>
    </row>
    <row r="191" spans="8:17" x14ac:dyDescent="0.3">
      <c r="H191" s="4"/>
      <c r="P191" s="3"/>
      <c r="Q191" s="3"/>
    </row>
    <row r="192" spans="8:17" x14ac:dyDescent="0.3">
      <c r="H192" s="4"/>
      <c r="P192" s="3"/>
      <c r="Q192" s="3"/>
    </row>
    <row r="193" spans="8:17" x14ac:dyDescent="0.3">
      <c r="H193" s="4"/>
      <c r="P193" s="3"/>
      <c r="Q193" s="3"/>
    </row>
    <row r="194" spans="8:17" x14ac:dyDescent="0.3">
      <c r="H194" s="4"/>
      <c r="P194" s="3"/>
      <c r="Q194" s="3"/>
    </row>
    <row r="195" spans="8:17" x14ac:dyDescent="0.3">
      <c r="H195" s="4"/>
      <c r="P195" s="3"/>
      <c r="Q195" s="3"/>
    </row>
    <row r="196" spans="8:17" x14ac:dyDescent="0.3">
      <c r="H196" s="4"/>
      <c r="P196" s="3"/>
      <c r="Q196" s="3"/>
    </row>
    <row r="197" spans="8:17" x14ac:dyDescent="0.3">
      <c r="H197" s="4"/>
      <c r="P197" s="3"/>
      <c r="Q197" s="3"/>
    </row>
    <row r="198" spans="8:17" x14ac:dyDescent="0.3">
      <c r="H198" s="4"/>
      <c r="P198" s="3"/>
      <c r="Q198" s="3"/>
    </row>
    <row r="199" spans="8:17" x14ac:dyDescent="0.3">
      <c r="H199" s="4"/>
      <c r="P199" s="3"/>
      <c r="Q199" s="3"/>
    </row>
    <row r="200" spans="8:17" x14ac:dyDescent="0.3">
      <c r="H200" s="4"/>
      <c r="P200" s="3"/>
      <c r="Q200" s="3"/>
    </row>
    <row r="201" spans="8:17" x14ac:dyDescent="0.3">
      <c r="H201" s="4"/>
      <c r="P201" s="3"/>
      <c r="Q201" s="3"/>
    </row>
    <row r="202" spans="8:17" x14ac:dyDescent="0.3">
      <c r="H202" s="4"/>
      <c r="P202" s="3"/>
      <c r="Q202" s="3"/>
    </row>
    <row r="203" spans="8:17" x14ac:dyDescent="0.3">
      <c r="H203" s="4"/>
      <c r="P203" s="3"/>
      <c r="Q203" s="3"/>
    </row>
    <row r="204" spans="8:17" x14ac:dyDescent="0.3">
      <c r="H204" s="4"/>
      <c r="P204" s="3"/>
      <c r="Q204" s="3"/>
    </row>
    <row r="205" spans="8:17" x14ac:dyDescent="0.3">
      <c r="H205" s="4"/>
      <c r="P205" s="3"/>
      <c r="Q205" s="3"/>
    </row>
    <row r="206" spans="8:17" x14ac:dyDescent="0.3">
      <c r="H206" s="4"/>
      <c r="P206" s="3"/>
      <c r="Q206" s="3"/>
    </row>
    <row r="207" spans="8:17" x14ac:dyDescent="0.3">
      <c r="H207" s="4"/>
      <c r="P207" s="3"/>
      <c r="Q207" s="3"/>
    </row>
    <row r="208" spans="8:17" x14ac:dyDescent="0.3">
      <c r="H208" s="4"/>
      <c r="P208" s="3"/>
      <c r="Q208" s="3"/>
    </row>
    <row r="209" spans="8:17" x14ac:dyDescent="0.3">
      <c r="H209" s="4"/>
      <c r="P209" s="3"/>
      <c r="Q209" s="3"/>
    </row>
    <row r="210" spans="8:17" x14ac:dyDescent="0.3">
      <c r="H210" s="4"/>
      <c r="P210" s="3"/>
      <c r="Q210" s="3"/>
    </row>
    <row r="211" spans="8:17" x14ac:dyDescent="0.3">
      <c r="H211" s="4"/>
      <c r="P211" s="3"/>
      <c r="Q211" s="3"/>
    </row>
    <row r="212" spans="8:17" x14ac:dyDescent="0.3">
      <c r="H212" s="4"/>
      <c r="P212" s="3"/>
      <c r="Q212" s="3"/>
    </row>
    <row r="213" spans="8:17" x14ac:dyDescent="0.3">
      <c r="H213" s="4"/>
    </row>
    <row r="214" spans="8:17" x14ac:dyDescent="0.3">
      <c r="H214" s="4"/>
    </row>
    <row r="215" spans="8:17" x14ac:dyDescent="0.3">
      <c r="H215" s="4"/>
    </row>
    <row r="216" spans="8:17" x14ac:dyDescent="0.3">
      <c r="H216" s="4"/>
    </row>
    <row r="217" spans="8:17" x14ac:dyDescent="0.3">
      <c r="H217" s="4"/>
    </row>
    <row r="218" spans="8:17" x14ac:dyDescent="0.3">
      <c r="H218" s="4"/>
    </row>
    <row r="219" spans="8:17" x14ac:dyDescent="0.3">
      <c r="H219" s="4"/>
    </row>
    <row r="220" spans="8:17" x14ac:dyDescent="0.3">
      <c r="H220" s="4"/>
    </row>
    <row r="221" spans="8:17" x14ac:dyDescent="0.3">
      <c r="H221" s="4"/>
    </row>
    <row r="222" spans="8:17" x14ac:dyDescent="0.3">
      <c r="H222" s="4"/>
    </row>
    <row r="223" spans="8:17" x14ac:dyDescent="0.3">
      <c r="H223" s="4"/>
    </row>
    <row r="224" spans="8:17" x14ac:dyDescent="0.3">
      <c r="H224" s="4"/>
    </row>
    <row r="225" spans="8:19" x14ac:dyDescent="0.3">
      <c r="H225" s="4"/>
    </row>
    <row r="226" spans="8:19" x14ac:dyDescent="0.3">
      <c r="H226" s="4"/>
    </row>
    <row r="227" spans="8:19" x14ac:dyDescent="0.3">
      <c r="H227" s="4"/>
    </row>
    <row r="228" spans="8:19" x14ac:dyDescent="0.3">
      <c r="H228" s="4"/>
    </row>
    <row r="229" spans="8:19" x14ac:dyDescent="0.3">
      <c r="H229" s="4"/>
    </row>
    <row r="230" spans="8:19" x14ac:dyDescent="0.3">
      <c r="H230" s="4"/>
    </row>
    <row r="231" spans="8:19" x14ac:dyDescent="0.3">
      <c r="H231" s="4"/>
    </row>
    <row r="232" spans="8:19" x14ac:dyDescent="0.3">
      <c r="H232" s="4"/>
    </row>
    <row r="233" spans="8:19" x14ac:dyDescent="0.3">
      <c r="H233" s="4"/>
    </row>
    <row r="234" spans="8:19" x14ac:dyDescent="0.3">
      <c r="H234" s="4"/>
      <c r="S234" s="3"/>
    </row>
    <row r="235" spans="8:19" x14ac:dyDescent="0.3">
      <c r="H235" s="4"/>
    </row>
    <row r="236" spans="8:19" x14ac:dyDescent="0.3">
      <c r="H236" s="4"/>
    </row>
    <row r="237" spans="8:19" x14ac:dyDescent="0.3">
      <c r="H237" s="4"/>
    </row>
    <row r="238" spans="8:19" x14ac:dyDescent="0.3">
      <c r="H238" s="4"/>
    </row>
    <row r="239" spans="8:19" x14ac:dyDescent="0.3">
      <c r="H239" s="4"/>
    </row>
    <row r="240" spans="8:19" x14ac:dyDescent="0.3">
      <c r="H240" s="4"/>
    </row>
    <row r="241" spans="8:8" x14ac:dyDescent="0.3">
      <c r="H241" s="4"/>
    </row>
    <row r="242" spans="8:8" x14ac:dyDescent="0.3">
      <c r="H242" s="4"/>
    </row>
    <row r="243" spans="8:8" x14ac:dyDescent="0.3">
      <c r="H243" s="4"/>
    </row>
    <row r="244" spans="8:8" x14ac:dyDescent="0.3">
      <c r="H244" s="4"/>
    </row>
    <row r="245" spans="8:8" x14ac:dyDescent="0.3">
      <c r="H245" s="4"/>
    </row>
    <row r="246" spans="8:8" x14ac:dyDescent="0.3">
      <c r="H246" s="4"/>
    </row>
    <row r="247" spans="8:8" x14ac:dyDescent="0.3">
      <c r="H247" s="4"/>
    </row>
    <row r="248" spans="8:8" x14ac:dyDescent="0.3">
      <c r="H248" s="4"/>
    </row>
    <row r="249" spans="8:8" x14ac:dyDescent="0.3">
      <c r="H249" s="4"/>
    </row>
    <row r="250" spans="8:8" x14ac:dyDescent="0.3">
      <c r="H250" s="4"/>
    </row>
    <row r="251" spans="8:8" x14ac:dyDescent="0.3">
      <c r="H251" s="4"/>
    </row>
    <row r="252" spans="8:8" x14ac:dyDescent="0.3">
      <c r="H252" s="4"/>
    </row>
    <row r="253" spans="8:8" x14ac:dyDescent="0.3">
      <c r="H253" s="4"/>
    </row>
    <row r="254" spans="8:8" x14ac:dyDescent="0.3">
      <c r="H254" s="4"/>
    </row>
    <row r="255" spans="8:8" x14ac:dyDescent="0.3">
      <c r="H255" s="4"/>
    </row>
    <row r="256" spans="8:8" x14ac:dyDescent="0.3">
      <c r="H256" s="4"/>
    </row>
    <row r="257" spans="8:8" x14ac:dyDescent="0.3">
      <c r="H257" s="4"/>
    </row>
    <row r="258" spans="8:8" x14ac:dyDescent="0.3">
      <c r="H258" s="4"/>
    </row>
    <row r="259" spans="8:8" x14ac:dyDescent="0.3">
      <c r="H259" s="4"/>
    </row>
    <row r="260" spans="8:8" x14ac:dyDescent="0.3">
      <c r="H260" s="4"/>
    </row>
    <row r="261" spans="8:8" x14ac:dyDescent="0.3">
      <c r="H261" s="4"/>
    </row>
    <row r="262" spans="8:8" x14ac:dyDescent="0.3">
      <c r="H262" s="4"/>
    </row>
    <row r="263" spans="8:8" x14ac:dyDescent="0.3">
      <c r="H263" s="4"/>
    </row>
    <row r="264" spans="8:8" x14ac:dyDescent="0.3">
      <c r="H264" s="4"/>
    </row>
    <row r="265" spans="8:8" x14ac:dyDescent="0.3">
      <c r="H265" s="4"/>
    </row>
    <row r="266" spans="8:8" x14ac:dyDescent="0.3">
      <c r="H266" s="4"/>
    </row>
    <row r="267" spans="8:8" x14ac:dyDescent="0.3">
      <c r="H267" s="4"/>
    </row>
    <row r="268" spans="8:8" x14ac:dyDescent="0.3">
      <c r="H268" s="4"/>
    </row>
    <row r="269" spans="8:8" x14ac:dyDescent="0.3">
      <c r="H269" s="4"/>
    </row>
    <row r="270" spans="8:8" x14ac:dyDescent="0.3">
      <c r="H270" s="4"/>
    </row>
    <row r="271" spans="8:8" x14ac:dyDescent="0.3">
      <c r="H271" s="4"/>
    </row>
    <row r="272" spans="8:8" x14ac:dyDescent="0.3">
      <c r="H272" s="4"/>
    </row>
    <row r="273" spans="8:14" x14ac:dyDescent="0.3">
      <c r="H273" s="4"/>
    </row>
    <row r="274" spans="8:14" x14ac:dyDescent="0.3">
      <c r="H274" s="4"/>
    </row>
    <row r="275" spans="8:14" x14ac:dyDescent="0.3">
      <c r="H275" s="4"/>
    </row>
    <row r="276" spans="8:14" x14ac:dyDescent="0.3">
      <c r="H276" s="4"/>
    </row>
    <row r="277" spans="8:14" x14ac:dyDescent="0.3">
      <c r="H277" s="4"/>
    </row>
    <row r="278" spans="8:14" x14ac:dyDescent="0.3">
      <c r="H278" s="4"/>
    </row>
    <row r="279" spans="8:14" x14ac:dyDescent="0.3">
      <c r="H279" s="4"/>
    </row>
    <row r="280" spans="8:14" x14ac:dyDescent="0.3">
      <c r="H280" s="4"/>
    </row>
    <row r="281" spans="8:14" x14ac:dyDescent="0.3">
      <c r="H281" s="4"/>
    </row>
    <row r="282" spans="8:14" x14ac:dyDescent="0.3">
      <c r="H282" s="4"/>
    </row>
    <row r="283" spans="8:14" x14ac:dyDescent="0.3">
      <c r="H283" s="4"/>
    </row>
    <row r="284" spans="8:14" x14ac:dyDescent="0.3">
      <c r="H284" s="4"/>
    </row>
    <row r="285" spans="8:14" ht="14.4" x14ac:dyDescent="0.3">
      <c r="H285" s="4"/>
      <c r="N285"/>
    </row>
    <row r="286" spans="8:14" ht="14.4" x14ac:dyDescent="0.3">
      <c r="H286" s="4"/>
      <c r="N286"/>
    </row>
    <row r="287" spans="8:14" ht="14.4" x14ac:dyDescent="0.3">
      <c r="H287" s="4"/>
      <c r="N287"/>
    </row>
    <row r="288" spans="8:14" ht="14.4" x14ac:dyDescent="0.3">
      <c r="H288" s="4"/>
      <c r="N288"/>
    </row>
    <row r="289" spans="8:14" ht="14.4" x14ac:dyDescent="0.3">
      <c r="H289" s="4"/>
      <c r="N289"/>
    </row>
    <row r="290" spans="8:14" ht="14.4" x14ac:dyDescent="0.3">
      <c r="H290" s="4"/>
      <c r="N290"/>
    </row>
    <row r="291" spans="8:14" ht="14.4" x14ac:dyDescent="0.3">
      <c r="H291" s="4"/>
      <c r="N291"/>
    </row>
    <row r="292" spans="8:14" ht="14.4" x14ac:dyDescent="0.3">
      <c r="H292" s="4"/>
      <c r="N292"/>
    </row>
    <row r="293" spans="8:14" ht="14.4" x14ac:dyDescent="0.3">
      <c r="H293" s="4"/>
      <c r="N293"/>
    </row>
    <row r="294" spans="8:14" ht="14.4" x14ac:dyDescent="0.3">
      <c r="H294" s="4"/>
      <c r="N294"/>
    </row>
    <row r="295" spans="8:14" ht="14.4" x14ac:dyDescent="0.3">
      <c r="H295" s="4"/>
      <c r="N295"/>
    </row>
    <row r="296" spans="8:14" ht="14.4" x14ac:dyDescent="0.3">
      <c r="H296" s="4"/>
      <c r="N296"/>
    </row>
    <row r="297" spans="8:14" ht="14.4" x14ac:dyDescent="0.3">
      <c r="H297" s="4"/>
      <c r="N297"/>
    </row>
    <row r="298" spans="8:14" ht="14.4" x14ac:dyDescent="0.3">
      <c r="H298" s="4"/>
      <c r="N298"/>
    </row>
    <row r="299" spans="8:14" ht="14.4" x14ac:dyDescent="0.3">
      <c r="H299" s="4"/>
      <c r="N299"/>
    </row>
    <row r="300" spans="8:14" ht="14.4" x14ac:dyDescent="0.3">
      <c r="H300" s="4"/>
      <c r="N300"/>
    </row>
    <row r="301" spans="8:14" ht="14.4" x14ac:dyDescent="0.3">
      <c r="H301" s="4"/>
      <c r="N301"/>
    </row>
    <row r="302" spans="8:14" ht="14.4" x14ac:dyDescent="0.3">
      <c r="H302" s="4"/>
      <c r="N302"/>
    </row>
    <row r="303" spans="8:14" ht="14.4" x14ac:dyDescent="0.3">
      <c r="H303" s="4"/>
      <c r="N303"/>
    </row>
    <row r="304" spans="8:14" ht="14.4" x14ac:dyDescent="0.3">
      <c r="H304" s="4"/>
      <c r="N304"/>
    </row>
    <row r="305" spans="8:14" ht="14.4" x14ac:dyDescent="0.3">
      <c r="H305" s="4"/>
      <c r="N305"/>
    </row>
    <row r="306" spans="8:14" ht="14.4" x14ac:dyDescent="0.3">
      <c r="H306" s="4"/>
      <c r="N306"/>
    </row>
    <row r="307" spans="8:14" ht="14.4" x14ac:dyDescent="0.3">
      <c r="H307" s="4"/>
      <c r="N307"/>
    </row>
    <row r="308" spans="8:14" ht="14.4" x14ac:dyDescent="0.3">
      <c r="H308" s="4"/>
      <c r="N308"/>
    </row>
    <row r="309" spans="8:14" ht="14.4" x14ac:dyDescent="0.3">
      <c r="H309" s="4"/>
      <c r="N309"/>
    </row>
    <row r="310" spans="8:14" ht="14.4" x14ac:dyDescent="0.3">
      <c r="H310" s="4"/>
      <c r="N310"/>
    </row>
    <row r="311" spans="8:14" ht="14.4" x14ac:dyDescent="0.3">
      <c r="H311" s="4"/>
      <c r="N311"/>
    </row>
    <row r="312" spans="8:14" ht="14.4" x14ac:dyDescent="0.3">
      <c r="H312" s="4"/>
      <c r="N312"/>
    </row>
    <row r="313" spans="8:14" ht="14.4" x14ac:dyDescent="0.3">
      <c r="H313" s="4"/>
      <c r="N313"/>
    </row>
    <row r="314" spans="8:14" ht="14.4" x14ac:dyDescent="0.3">
      <c r="H314" s="4"/>
      <c r="N314"/>
    </row>
    <row r="315" spans="8:14" ht="14.4" x14ac:dyDescent="0.3">
      <c r="H315" s="4"/>
      <c r="N315"/>
    </row>
    <row r="316" spans="8:14" ht="14.4" x14ac:dyDescent="0.3">
      <c r="H316" s="4"/>
      <c r="N316"/>
    </row>
    <row r="317" spans="8:14" ht="14.4" x14ac:dyDescent="0.3">
      <c r="H317" s="4"/>
      <c r="N317"/>
    </row>
    <row r="318" spans="8:14" ht="14.4" x14ac:dyDescent="0.3">
      <c r="H318" s="4"/>
      <c r="N318"/>
    </row>
    <row r="319" spans="8:14" ht="14.4" x14ac:dyDescent="0.3">
      <c r="H319" s="4"/>
      <c r="N319"/>
    </row>
    <row r="320" spans="8:14" ht="14.4" x14ac:dyDescent="0.3">
      <c r="H320" s="4"/>
      <c r="N320"/>
    </row>
    <row r="321" spans="8:14" ht="14.4" x14ac:dyDescent="0.3">
      <c r="H321" s="4"/>
      <c r="N321"/>
    </row>
    <row r="322" spans="8:14" ht="14.4" x14ac:dyDescent="0.3">
      <c r="H322" s="4"/>
      <c r="N322"/>
    </row>
    <row r="323" spans="8:14" ht="14.4" x14ac:dyDescent="0.3">
      <c r="H323" s="4"/>
      <c r="N323"/>
    </row>
    <row r="324" spans="8:14" ht="14.4" x14ac:dyDescent="0.3">
      <c r="H324" s="4"/>
      <c r="N324"/>
    </row>
    <row r="325" spans="8:14" ht="14.4" x14ac:dyDescent="0.3">
      <c r="H325" s="4"/>
      <c r="N325"/>
    </row>
    <row r="326" spans="8:14" ht="14.4" x14ac:dyDescent="0.3">
      <c r="H326" s="4"/>
      <c r="N326"/>
    </row>
    <row r="327" spans="8:14" ht="14.4" x14ac:dyDescent="0.3">
      <c r="H327" s="4"/>
      <c r="N327"/>
    </row>
    <row r="328" spans="8:14" ht="14.4" x14ac:dyDescent="0.3">
      <c r="H328" s="4"/>
      <c r="N328"/>
    </row>
    <row r="329" spans="8:14" ht="14.4" x14ac:dyDescent="0.3">
      <c r="H329" s="4"/>
      <c r="N329"/>
    </row>
    <row r="330" spans="8:14" ht="14.4" x14ac:dyDescent="0.3">
      <c r="H330" s="4"/>
      <c r="N330"/>
    </row>
    <row r="331" spans="8:14" ht="14.4" x14ac:dyDescent="0.3">
      <c r="H331" s="4"/>
      <c r="N331"/>
    </row>
    <row r="332" spans="8:14" ht="14.4" x14ac:dyDescent="0.3">
      <c r="H332" s="4"/>
      <c r="N332"/>
    </row>
    <row r="333" spans="8:14" ht="14.4" x14ac:dyDescent="0.3">
      <c r="H333" s="4"/>
      <c r="N333"/>
    </row>
    <row r="334" spans="8:14" ht="14.4" x14ac:dyDescent="0.3">
      <c r="H334" s="4"/>
      <c r="N334"/>
    </row>
    <row r="335" spans="8:14" ht="14.4" x14ac:dyDescent="0.3">
      <c r="H335" s="4"/>
      <c r="N335"/>
    </row>
    <row r="336" spans="8:14" ht="14.4" x14ac:dyDescent="0.3">
      <c r="H336" s="4"/>
      <c r="N336"/>
    </row>
    <row r="337" spans="8:14" ht="14.4" x14ac:dyDescent="0.3">
      <c r="H337" s="4"/>
      <c r="N337"/>
    </row>
    <row r="338" spans="8:14" ht="14.4" x14ac:dyDescent="0.3">
      <c r="H338" s="4"/>
      <c r="N338"/>
    </row>
    <row r="339" spans="8:14" ht="14.4" x14ac:dyDescent="0.3">
      <c r="H339" s="4"/>
      <c r="N339"/>
    </row>
    <row r="340" spans="8:14" ht="14.4" x14ac:dyDescent="0.3">
      <c r="H340" s="4"/>
      <c r="N340"/>
    </row>
    <row r="341" spans="8:14" ht="14.4" x14ac:dyDescent="0.3">
      <c r="H341" s="4"/>
      <c r="N341"/>
    </row>
    <row r="342" spans="8:14" ht="14.4" x14ac:dyDescent="0.3">
      <c r="H342" s="4"/>
      <c r="N342"/>
    </row>
    <row r="343" spans="8:14" ht="14.4" x14ac:dyDescent="0.3">
      <c r="H343" s="4"/>
      <c r="N343"/>
    </row>
    <row r="344" spans="8:14" ht="14.4" x14ac:dyDescent="0.3">
      <c r="H344" s="4"/>
      <c r="N344"/>
    </row>
    <row r="345" spans="8:14" ht="14.4" x14ac:dyDescent="0.3">
      <c r="H345" s="4"/>
      <c r="N345"/>
    </row>
    <row r="346" spans="8:14" ht="14.4" x14ac:dyDescent="0.3">
      <c r="H346" s="4"/>
      <c r="N346"/>
    </row>
    <row r="347" spans="8:14" ht="14.4" x14ac:dyDescent="0.3">
      <c r="H347" s="4"/>
      <c r="N347"/>
    </row>
    <row r="348" spans="8:14" ht="14.4" x14ac:dyDescent="0.3">
      <c r="H348" s="4"/>
      <c r="N348"/>
    </row>
    <row r="349" spans="8:14" ht="14.4" x14ac:dyDescent="0.3">
      <c r="H349" s="4"/>
      <c r="N349"/>
    </row>
    <row r="350" spans="8:14" ht="14.4" x14ac:dyDescent="0.3">
      <c r="H350" s="4"/>
      <c r="N350"/>
    </row>
    <row r="351" spans="8:14" ht="14.4" x14ac:dyDescent="0.3">
      <c r="H351" s="4"/>
      <c r="N351"/>
    </row>
    <row r="352" spans="8:14" ht="14.4" x14ac:dyDescent="0.3">
      <c r="H352" s="4"/>
      <c r="N352"/>
    </row>
    <row r="353" spans="8:14" ht="14.4" x14ac:dyDescent="0.3">
      <c r="H353" s="4"/>
      <c r="N353"/>
    </row>
    <row r="354" spans="8:14" ht="14.4" x14ac:dyDescent="0.3">
      <c r="H354" s="4"/>
      <c r="N354"/>
    </row>
    <row r="355" spans="8:14" ht="14.4" x14ac:dyDescent="0.3">
      <c r="H355" s="4"/>
      <c r="N355"/>
    </row>
    <row r="356" spans="8:14" ht="14.4" x14ac:dyDescent="0.3">
      <c r="H356" s="4"/>
      <c r="N356"/>
    </row>
    <row r="357" spans="8:14" ht="14.4" x14ac:dyDescent="0.3">
      <c r="H357" s="4"/>
      <c r="N357"/>
    </row>
    <row r="358" spans="8:14" ht="14.4" x14ac:dyDescent="0.3">
      <c r="H358" s="4"/>
      <c r="N358"/>
    </row>
    <row r="359" spans="8:14" ht="14.4" x14ac:dyDescent="0.3">
      <c r="H359" s="4"/>
      <c r="N359"/>
    </row>
    <row r="360" spans="8:14" ht="14.4" x14ac:dyDescent="0.3">
      <c r="H360" s="4"/>
      <c r="N360"/>
    </row>
    <row r="361" spans="8:14" ht="14.4" x14ac:dyDescent="0.3">
      <c r="H361" s="4"/>
      <c r="N361"/>
    </row>
    <row r="362" spans="8:14" ht="14.4" x14ac:dyDescent="0.3">
      <c r="H362" s="4"/>
      <c r="N362"/>
    </row>
    <row r="363" spans="8:14" ht="14.4" x14ac:dyDescent="0.3">
      <c r="H363" s="4"/>
      <c r="N363"/>
    </row>
    <row r="364" spans="8:14" ht="14.4" x14ac:dyDescent="0.3">
      <c r="H364" s="4"/>
      <c r="N364"/>
    </row>
    <row r="365" spans="8:14" ht="14.4" x14ac:dyDescent="0.3">
      <c r="H365" s="4"/>
      <c r="N365"/>
    </row>
    <row r="366" spans="8:14" ht="14.4" x14ac:dyDescent="0.3">
      <c r="H366" s="4"/>
      <c r="N366"/>
    </row>
    <row r="367" spans="8:14" ht="14.4" x14ac:dyDescent="0.3">
      <c r="H367" s="4"/>
      <c r="N367"/>
    </row>
    <row r="368" spans="8:14" ht="14.4" x14ac:dyDescent="0.3">
      <c r="H368" s="4"/>
      <c r="N368"/>
    </row>
    <row r="369" spans="8:14" ht="14.4" x14ac:dyDescent="0.3">
      <c r="H369" s="4"/>
      <c r="N369"/>
    </row>
    <row r="370" spans="8:14" ht="14.4" x14ac:dyDescent="0.3">
      <c r="H370" s="4"/>
      <c r="N370"/>
    </row>
    <row r="371" spans="8:14" ht="14.4" x14ac:dyDescent="0.3">
      <c r="H371" s="4"/>
      <c r="N371"/>
    </row>
    <row r="372" spans="8:14" ht="14.4" x14ac:dyDescent="0.3">
      <c r="H372" s="4"/>
      <c r="N372"/>
    </row>
    <row r="373" spans="8:14" ht="14.4" x14ac:dyDescent="0.3">
      <c r="H373" s="4"/>
      <c r="N373"/>
    </row>
    <row r="374" spans="8:14" ht="14.4" x14ac:dyDescent="0.3">
      <c r="H374" s="4"/>
      <c r="N374"/>
    </row>
    <row r="375" spans="8:14" ht="14.4" x14ac:dyDescent="0.3">
      <c r="H375" s="4"/>
      <c r="N375"/>
    </row>
    <row r="376" spans="8:14" ht="14.4" x14ac:dyDescent="0.3">
      <c r="H376" s="4"/>
      <c r="N376"/>
    </row>
    <row r="377" spans="8:14" ht="14.4" x14ac:dyDescent="0.3">
      <c r="H377" s="4"/>
      <c r="N377"/>
    </row>
    <row r="378" spans="8:14" ht="14.4" x14ac:dyDescent="0.3">
      <c r="H378" s="4"/>
      <c r="N378"/>
    </row>
    <row r="379" spans="8:14" ht="14.4" x14ac:dyDescent="0.3">
      <c r="H379" s="4"/>
      <c r="N379"/>
    </row>
    <row r="380" spans="8:14" ht="14.4" x14ac:dyDescent="0.3">
      <c r="H380" s="4"/>
      <c r="N380"/>
    </row>
    <row r="381" spans="8:14" ht="14.4" x14ac:dyDescent="0.3">
      <c r="H381" s="4"/>
      <c r="N381"/>
    </row>
    <row r="382" spans="8:14" ht="14.4" x14ac:dyDescent="0.3">
      <c r="H382" s="4"/>
      <c r="N382"/>
    </row>
    <row r="383" spans="8:14" ht="14.4" x14ac:dyDescent="0.3">
      <c r="H383" s="4"/>
      <c r="N383"/>
    </row>
    <row r="384" spans="8:14" ht="14.4" x14ac:dyDescent="0.3">
      <c r="H384" s="4"/>
      <c r="N384"/>
    </row>
    <row r="385" spans="8:14" ht="14.4" x14ac:dyDescent="0.3">
      <c r="H385" s="4"/>
      <c r="N385"/>
    </row>
    <row r="386" spans="8:14" ht="14.4" x14ac:dyDescent="0.3">
      <c r="H386" s="4"/>
      <c r="N386"/>
    </row>
    <row r="387" spans="8:14" ht="14.4" x14ac:dyDescent="0.3">
      <c r="H387" s="4"/>
      <c r="N387"/>
    </row>
    <row r="388" spans="8:14" ht="14.4" x14ac:dyDescent="0.3">
      <c r="H388" s="4"/>
      <c r="N388"/>
    </row>
    <row r="389" spans="8:14" ht="14.4" x14ac:dyDescent="0.3">
      <c r="H389" s="4"/>
      <c r="N389"/>
    </row>
    <row r="390" spans="8:14" ht="14.4" x14ac:dyDescent="0.3">
      <c r="H390" s="4"/>
      <c r="N390"/>
    </row>
    <row r="391" spans="8:14" ht="14.4" x14ac:dyDescent="0.3">
      <c r="N391"/>
    </row>
    <row r="392" spans="8:14" ht="14.4" x14ac:dyDescent="0.3">
      <c r="N392"/>
    </row>
    <row r="393" spans="8:14" ht="14.4" x14ac:dyDescent="0.3">
      <c r="N393"/>
    </row>
    <row r="394" spans="8:14" ht="14.4" x14ac:dyDescent="0.3">
      <c r="N394"/>
    </row>
    <row r="395" spans="8:14" ht="14.4" x14ac:dyDescent="0.3">
      <c r="N395"/>
    </row>
    <row r="396" spans="8:14" ht="14.4" x14ac:dyDescent="0.3">
      <c r="N396"/>
    </row>
    <row r="397" spans="8:14" ht="14.4" x14ac:dyDescent="0.3">
      <c r="N397"/>
    </row>
    <row r="398" spans="8:14" ht="14.4" x14ac:dyDescent="0.3">
      <c r="N398"/>
    </row>
    <row r="399" spans="8:14" ht="14.4" x14ac:dyDescent="0.3">
      <c r="N399"/>
    </row>
    <row r="400" spans="8:14" ht="14.4" x14ac:dyDescent="0.3">
      <c r="N400"/>
    </row>
    <row r="401" spans="14:14" ht="14.4" x14ac:dyDescent="0.3">
      <c r="N401"/>
    </row>
    <row r="402" spans="14:14" ht="14.4" x14ac:dyDescent="0.3">
      <c r="N402"/>
    </row>
    <row r="403" spans="14:14" ht="14.4" x14ac:dyDescent="0.3">
      <c r="N403"/>
    </row>
    <row r="404" spans="14:14" ht="14.4" x14ac:dyDescent="0.3">
      <c r="N404"/>
    </row>
    <row r="405" spans="14:14" ht="14.4" x14ac:dyDescent="0.3">
      <c r="N405"/>
    </row>
    <row r="406" spans="14:14" ht="14.4" x14ac:dyDescent="0.3">
      <c r="N406"/>
    </row>
    <row r="407" spans="14:14" ht="14.4" x14ac:dyDescent="0.3">
      <c r="N407"/>
    </row>
    <row r="408" spans="14:14" ht="14.4" x14ac:dyDescent="0.3">
      <c r="N408"/>
    </row>
    <row r="409" spans="14:14" ht="14.4" x14ac:dyDescent="0.3">
      <c r="N409"/>
    </row>
    <row r="410" spans="14:14" ht="14.4" x14ac:dyDescent="0.3">
      <c r="N410"/>
    </row>
    <row r="411" spans="14:14" ht="14.4" x14ac:dyDescent="0.3">
      <c r="N411"/>
    </row>
    <row r="412" spans="14:14" ht="14.4" x14ac:dyDescent="0.3">
      <c r="N412"/>
    </row>
    <row r="413" spans="14:14" ht="14.4" x14ac:dyDescent="0.3">
      <c r="N413"/>
    </row>
    <row r="414" spans="14:14" ht="14.4" x14ac:dyDescent="0.3">
      <c r="N414"/>
    </row>
    <row r="415" spans="14:14" ht="14.4" x14ac:dyDescent="0.3">
      <c r="N415"/>
    </row>
    <row r="416" spans="14:14" ht="14.4" x14ac:dyDescent="0.3">
      <c r="N416"/>
    </row>
    <row r="417" spans="14:14" ht="14.4" x14ac:dyDescent="0.3">
      <c r="N417"/>
    </row>
    <row r="418" spans="14:14" ht="14.4" x14ac:dyDescent="0.3">
      <c r="N418"/>
    </row>
    <row r="419" spans="14:14" ht="14.4" x14ac:dyDescent="0.3">
      <c r="N419"/>
    </row>
    <row r="420" spans="14:14" ht="14.4" x14ac:dyDescent="0.3">
      <c r="N420"/>
    </row>
    <row r="421" spans="14:14" ht="14.4" x14ac:dyDescent="0.3">
      <c r="N421"/>
    </row>
    <row r="422" spans="14:14" ht="14.4" x14ac:dyDescent="0.3">
      <c r="N422"/>
    </row>
    <row r="423" spans="14:14" ht="14.4" x14ac:dyDescent="0.3">
      <c r="N423"/>
    </row>
    <row r="424" spans="14:14" ht="14.4" x14ac:dyDescent="0.3">
      <c r="N424"/>
    </row>
    <row r="425" spans="14:14" ht="14.4" x14ac:dyDescent="0.3">
      <c r="N425"/>
    </row>
    <row r="426" spans="14:14" ht="14.4" x14ac:dyDescent="0.3">
      <c r="N426"/>
    </row>
    <row r="427" spans="14:14" ht="14.4" x14ac:dyDescent="0.3">
      <c r="N427"/>
    </row>
    <row r="428" spans="14:14" ht="14.4" x14ac:dyDescent="0.3">
      <c r="N428"/>
    </row>
    <row r="429" spans="14:14" ht="14.4" x14ac:dyDescent="0.3">
      <c r="N429"/>
    </row>
    <row r="430" spans="14:14" ht="14.4" x14ac:dyDescent="0.3">
      <c r="N430"/>
    </row>
    <row r="431" spans="14:14" ht="14.4" x14ac:dyDescent="0.3">
      <c r="N431"/>
    </row>
    <row r="432" spans="14:14" ht="14.4" x14ac:dyDescent="0.3">
      <c r="N432"/>
    </row>
    <row r="433" spans="14:14" ht="14.4" x14ac:dyDescent="0.3">
      <c r="N433"/>
    </row>
    <row r="434" spans="14:14" ht="14.4" x14ac:dyDescent="0.3">
      <c r="N434"/>
    </row>
    <row r="435" spans="14:14" ht="14.4" x14ac:dyDescent="0.3">
      <c r="N435"/>
    </row>
    <row r="436" spans="14:14" ht="14.4" x14ac:dyDescent="0.3">
      <c r="N436"/>
    </row>
    <row r="437" spans="14:14" ht="14.4" x14ac:dyDescent="0.3">
      <c r="N437"/>
    </row>
    <row r="438" spans="14:14" ht="14.4" x14ac:dyDescent="0.3">
      <c r="N438"/>
    </row>
    <row r="439" spans="14:14" ht="14.4" x14ac:dyDescent="0.3">
      <c r="N439"/>
    </row>
    <row r="440" spans="14:14" ht="14.4" x14ac:dyDescent="0.3">
      <c r="N440"/>
    </row>
    <row r="441" spans="14:14" ht="14.4" x14ac:dyDescent="0.3">
      <c r="N441"/>
    </row>
    <row r="442" spans="14:14" ht="14.4" x14ac:dyDescent="0.3">
      <c r="N442"/>
    </row>
    <row r="443" spans="14:14" ht="14.4" x14ac:dyDescent="0.3">
      <c r="N443"/>
    </row>
    <row r="444" spans="14:14" ht="14.4" x14ac:dyDescent="0.3">
      <c r="N444"/>
    </row>
    <row r="445" spans="14:14" ht="14.4" x14ac:dyDescent="0.3">
      <c r="N445"/>
    </row>
    <row r="446" spans="14:14" ht="14.4" x14ac:dyDescent="0.3">
      <c r="N446"/>
    </row>
    <row r="447" spans="14:14" ht="14.4" x14ac:dyDescent="0.3">
      <c r="N447"/>
    </row>
    <row r="448" spans="14:14" ht="14.4" x14ac:dyDescent="0.3">
      <c r="N448"/>
    </row>
    <row r="449" spans="14:14" ht="14.4" x14ac:dyDescent="0.3">
      <c r="N449"/>
    </row>
    <row r="450" spans="14:14" ht="14.4" x14ac:dyDescent="0.3">
      <c r="N450"/>
    </row>
    <row r="451" spans="14:14" ht="14.4" x14ac:dyDescent="0.3">
      <c r="N451"/>
    </row>
    <row r="452" spans="14:14" ht="14.4" x14ac:dyDescent="0.3">
      <c r="N452"/>
    </row>
    <row r="453" spans="14:14" ht="14.4" x14ac:dyDescent="0.3">
      <c r="N453"/>
    </row>
    <row r="454" spans="14:14" ht="14.4" x14ac:dyDescent="0.3">
      <c r="N454"/>
    </row>
    <row r="455" spans="14:14" ht="14.4" x14ac:dyDescent="0.3">
      <c r="N455"/>
    </row>
    <row r="456" spans="14:14" ht="14.4" x14ac:dyDescent="0.3">
      <c r="N456"/>
    </row>
    <row r="457" spans="14:14" ht="14.4" x14ac:dyDescent="0.3">
      <c r="N457"/>
    </row>
    <row r="458" spans="14:14" ht="14.4" x14ac:dyDescent="0.3">
      <c r="N458"/>
    </row>
    <row r="459" spans="14:14" ht="14.4" x14ac:dyDescent="0.3">
      <c r="N459"/>
    </row>
    <row r="460" spans="14:14" ht="14.4" x14ac:dyDescent="0.3">
      <c r="N460"/>
    </row>
    <row r="461" spans="14:14" ht="14.4" x14ac:dyDescent="0.3">
      <c r="N461"/>
    </row>
    <row r="462" spans="14:14" ht="14.4" x14ac:dyDescent="0.3">
      <c r="N462"/>
    </row>
    <row r="463" spans="14:14" ht="14.4" x14ac:dyDescent="0.3">
      <c r="N463"/>
    </row>
    <row r="464" spans="14:14" ht="14.4" x14ac:dyDescent="0.3">
      <c r="N464"/>
    </row>
    <row r="465" spans="14:14" ht="14.4" x14ac:dyDescent="0.3">
      <c r="N465"/>
    </row>
    <row r="466" spans="14:14" ht="14.4" x14ac:dyDescent="0.3">
      <c r="N466"/>
    </row>
    <row r="467" spans="14:14" ht="14.4" x14ac:dyDescent="0.3">
      <c r="N467"/>
    </row>
    <row r="468" spans="14:14" ht="14.4" x14ac:dyDescent="0.3">
      <c r="N468"/>
    </row>
    <row r="469" spans="14:14" ht="14.4" x14ac:dyDescent="0.3">
      <c r="N469"/>
    </row>
    <row r="470" spans="14:14" ht="14.4" x14ac:dyDescent="0.3">
      <c r="N470"/>
    </row>
    <row r="471" spans="14:14" ht="14.4" x14ac:dyDescent="0.3">
      <c r="N471"/>
    </row>
    <row r="472" spans="14:14" ht="14.4" x14ac:dyDescent="0.3">
      <c r="N472"/>
    </row>
    <row r="473" spans="14:14" ht="14.4" x14ac:dyDescent="0.3">
      <c r="N473"/>
    </row>
    <row r="474" spans="14:14" ht="14.4" x14ac:dyDescent="0.3">
      <c r="N474"/>
    </row>
    <row r="475" spans="14:14" ht="14.4" x14ac:dyDescent="0.3">
      <c r="N475"/>
    </row>
    <row r="476" spans="14:14" ht="14.4" x14ac:dyDescent="0.3">
      <c r="N476"/>
    </row>
    <row r="477" spans="14:14" ht="14.4" x14ac:dyDescent="0.3">
      <c r="N477"/>
    </row>
    <row r="478" spans="14:14" ht="14.4" x14ac:dyDescent="0.3">
      <c r="N478"/>
    </row>
    <row r="479" spans="14:14" ht="14.4" x14ac:dyDescent="0.3">
      <c r="N479"/>
    </row>
    <row r="480" spans="14:14" ht="14.4" x14ac:dyDescent="0.3">
      <c r="N480"/>
    </row>
    <row r="481" spans="14:14" ht="14.4" x14ac:dyDescent="0.3">
      <c r="N481"/>
    </row>
    <row r="482" spans="14:14" ht="14.4" x14ac:dyDescent="0.3">
      <c r="N482"/>
    </row>
    <row r="483" spans="14:14" ht="14.4" x14ac:dyDescent="0.3">
      <c r="N483"/>
    </row>
    <row r="484" spans="14:14" ht="14.4" x14ac:dyDescent="0.3">
      <c r="N484"/>
    </row>
    <row r="485" spans="14:14" ht="14.4" x14ac:dyDescent="0.3">
      <c r="N485"/>
    </row>
    <row r="486" spans="14:14" ht="14.4" x14ac:dyDescent="0.3">
      <c r="N486"/>
    </row>
    <row r="487" spans="14:14" ht="14.4" x14ac:dyDescent="0.3">
      <c r="N487"/>
    </row>
    <row r="488" spans="14:14" ht="14.4" x14ac:dyDescent="0.3">
      <c r="N488"/>
    </row>
    <row r="489" spans="14:14" ht="14.4" x14ac:dyDescent="0.3">
      <c r="N489"/>
    </row>
    <row r="490" spans="14:14" ht="14.4" x14ac:dyDescent="0.3">
      <c r="N490"/>
    </row>
    <row r="491" spans="14:14" ht="14.4" x14ac:dyDescent="0.3">
      <c r="N491"/>
    </row>
    <row r="492" spans="14:14" ht="14.4" x14ac:dyDescent="0.3">
      <c r="N492"/>
    </row>
    <row r="493" spans="14:14" ht="14.4" x14ac:dyDescent="0.3">
      <c r="N493"/>
    </row>
    <row r="494" spans="14:14" ht="14.4" x14ac:dyDescent="0.3">
      <c r="N494"/>
    </row>
    <row r="495" spans="14:14" ht="14.4" x14ac:dyDescent="0.3">
      <c r="N495"/>
    </row>
    <row r="496" spans="14:14" ht="14.4" x14ac:dyDescent="0.3">
      <c r="N496"/>
    </row>
    <row r="497" spans="14:14" ht="14.4" x14ac:dyDescent="0.3">
      <c r="N497"/>
    </row>
    <row r="498" spans="14:14" ht="14.4" x14ac:dyDescent="0.3">
      <c r="N498"/>
    </row>
    <row r="499" spans="14:14" ht="14.4" x14ac:dyDescent="0.3">
      <c r="N499"/>
    </row>
    <row r="500" spans="14:14" ht="14.4" x14ac:dyDescent="0.3">
      <c r="N500"/>
    </row>
    <row r="501" spans="14:14" ht="14.4" x14ac:dyDescent="0.3">
      <c r="N501"/>
    </row>
    <row r="502" spans="14:14" ht="14.4" x14ac:dyDescent="0.3">
      <c r="N502"/>
    </row>
    <row r="503" spans="14:14" ht="14.4" x14ac:dyDescent="0.3">
      <c r="N503"/>
    </row>
    <row r="504" spans="14:14" ht="14.4" x14ac:dyDescent="0.3">
      <c r="N504"/>
    </row>
    <row r="505" spans="14:14" ht="14.4" x14ac:dyDescent="0.3">
      <c r="N505"/>
    </row>
    <row r="506" spans="14:14" ht="14.4" x14ac:dyDescent="0.3">
      <c r="N506"/>
    </row>
    <row r="507" spans="14:14" ht="14.4" x14ac:dyDescent="0.3">
      <c r="N507"/>
    </row>
    <row r="508" spans="14:14" ht="14.4" x14ac:dyDescent="0.3">
      <c r="N508"/>
    </row>
    <row r="509" spans="14:14" ht="14.4" x14ac:dyDescent="0.3">
      <c r="N509"/>
    </row>
    <row r="510" spans="14:14" ht="14.4" x14ac:dyDescent="0.3">
      <c r="N510"/>
    </row>
    <row r="511" spans="14:14" ht="14.4" x14ac:dyDescent="0.3">
      <c r="N511"/>
    </row>
    <row r="512" spans="14:14" ht="14.4" x14ac:dyDescent="0.3">
      <c r="N512"/>
    </row>
    <row r="513" spans="14:14" ht="14.4" x14ac:dyDescent="0.3">
      <c r="N513"/>
    </row>
    <row r="514" spans="14:14" ht="14.4" x14ac:dyDescent="0.3">
      <c r="N514"/>
    </row>
    <row r="515" spans="14:14" ht="14.4" x14ac:dyDescent="0.3">
      <c r="N515"/>
    </row>
    <row r="516" spans="14:14" ht="14.4" x14ac:dyDescent="0.3">
      <c r="N516"/>
    </row>
    <row r="517" spans="14:14" ht="14.4" x14ac:dyDescent="0.3">
      <c r="N517"/>
    </row>
    <row r="518" spans="14:14" ht="14.4" x14ac:dyDescent="0.3">
      <c r="N518"/>
    </row>
    <row r="519" spans="14:14" ht="14.4" x14ac:dyDescent="0.3">
      <c r="N519"/>
    </row>
    <row r="520" spans="14:14" ht="14.4" x14ac:dyDescent="0.3">
      <c r="N520"/>
    </row>
    <row r="521" spans="14:14" ht="14.4" x14ac:dyDescent="0.3">
      <c r="N521"/>
    </row>
    <row r="522" spans="14:14" ht="14.4" x14ac:dyDescent="0.3">
      <c r="N522"/>
    </row>
    <row r="523" spans="14:14" ht="14.4" x14ac:dyDescent="0.3">
      <c r="N523"/>
    </row>
    <row r="524" spans="14:14" ht="14.4" x14ac:dyDescent="0.3">
      <c r="N524"/>
    </row>
    <row r="525" spans="14:14" ht="14.4" x14ac:dyDescent="0.3">
      <c r="N525"/>
    </row>
    <row r="526" spans="14:14" ht="14.4" x14ac:dyDescent="0.3">
      <c r="N526"/>
    </row>
    <row r="527" spans="14:14" ht="14.4" x14ac:dyDescent="0.3">
      <c r="N527"/>
    </row>
    <row r="528" spans="14:14" ht="14.4" x14ac:dyDescent="0.3">
      <c r="N528"/>
    </row>
    <row r="529" spans="14:14" ht="14.4" x14ac:dyDescent="0.3">
      <c r="N529"/>
    </row>
    <row r="530" spans="14:14" ht="14.4" x14ac:dyDescent="0.3">
      <c r="N530"/>
    </row>
    <row r="531" spans="14:14" ht="14.4" x14ac:dyDescent="0.3">
      <c r="N531"/>
    </row>
    <row r="532" spans="14:14" ht="14.4" x14ac:dyDescent="0.3">
      <c r="N532"/>
    </row>
    <row r="533" spans="14:14" ht="14.4" x14ac:dyDescent="0.3">
      <c r="N533"/>
    </row>
    <row r="534" spans="14:14" ht="14.4" x14ac:dyDescent="0.3">
      <c r="N534"/>
    </row>
    <row r="535" spans="14:14" ht="14.4" x14ac:dyDescent="0.3">
      <c r="N535"/>
    </row>
    <row r="536" spans="14:14" ht="14.4" x14ac:dyDescent="0.3">
      <c r="N536"/>
    </row>
    <row r="537" spans="14:14" ht="14.4" x14ac:dyDescent="0.3">
      <c r="N537"/>
    </row>
    <row r="538" spans="14:14" ht="14.4" x14ac:dyDescent="0.3">
      <c r="N538"/>
    </row>
    <row r="539" spans="14:14" ht="14.4" x14ac:dyDescent="0.3">
      <c r="N539"/>
    </row>
    <row r="540" spans="14:14" ht="14.4" x14ac:dyDescent="0.3">
      <c r="N540"/>
    </row>
    <row r="541" spans="14:14" ht="14.4" x14ac:dyDescent="0.3">
      <c r="N541"/>
    </row>
    <row r="542" spans="14:14" ht="14.4" x14ac:dyDescent="0.3">
      <c r="N542"/>
    </row>
    <row r="543" spans="14:14" ht="14.4" x14ac:dyDescent="0.3">
      <c r="N543"/>
    </row>
    <row r="544" spans="14:14" ht="14.4" x14ac:dyDescent="0.3">
      <c r="N544"/>
    </row>
    <row r="545" spans="14:14" ht="14.4" x14ac:dyDescent="0.3">
      <c r="N545"/>
    </row>
    <row r="546" spans="14:14" ht="14.4" x14ac:dyDescent="0.3">
      <c r="N546"/>
    </row>
    <row r="547" spans="14:14" ht="14.4" x14ac:dyDescent="0.3">
      <c r="N547"/>
    </row>
    <row r="548" spans="14:14" ht="14.4" x14ac:dyDescent="0.3">
      <c r="N548"/>
    </row>
    <row r="549" spans="14:14" ht="14.4" x14ac:dyDescent="0.3">
      <c r="N549"/>
    </row>
    <row r="550" spans="14:14" ht="14.4" x14ac:dyDescent="0.3">
      <c r="N550"/>
    </row>
    <row r="551" spans="14:14" ht="14.4" x14ac:dyDescent="0.3">
      <c r="N551"/>
    </row>
    <row r="552" spans="14:14" ht="14.4" x14ac:dyDescent="0.3">
      <c r="N552"/>
    </row>
    <row r="553" spans="14:14" ht="14.4" x14ac:dyDescent="0.3">
      <c r="N553"/>
    </row>
    <row r="554" spans="14:14" ht="14.4" x14ac:dyDescent="0.3">
      <c r="N554"/>
    </row>
    <row r="555" spans="14:14" ht="14.4" x14ac:dyDescent="0.3">
      <c r="N555"/>
    </row>
    <row r="556" spans="14:14" ht="14.4" x14ac:dyDescent="0.3">
      <c r="N556"/>
    </row>
    <row r="557" spans="14:14" ht="14.4" x14ac:dyDescent="0.3">
      <c r="N557"/>
    </row>
    <row r="558" spans="14:14" ht="14.4" x14ac:dyDescent="0.3">
      <c r="N558"/>
    </row>
    <row r="559" spans="14:14" ht="14.4" x14ac:dyDescent="0.3">
      <c r="N559"/>
    </row>
    <row r="560" spans="14:14" ht="14.4" x14ac:dyDescent="0.3">
      <c r="N560"/>
    </row>
    <row r="561" spans="14:14" ht="14.4" x14ac:dyDescent="0.3">
      <c r="N561"/>
    </row>
    <row r="562" spans="14:14" ht="14.4" x14ac:dyDescent="0.3">
      <c r="N562"/>
    </row>
    <row r="563" spans="14:14" ht="14.4" x14ac:dyDescent="0.3">
      <c r="N563"/>
    </row>
    <row r="564" spans="14:14" ht="14.4" x14ac:dyDescent="0.3">
      <c r="N564"/>
    </row>
    <row r="565" spans="14:14" ht="14.4" x14ac:dyDescent="0.3">
      <c r="N565"/>
    </row>
    <row r="566" spans="14:14" ht="14.4" x14ac:dyDescent="0.3">
      <c r="N566"/>
    </row>
    <row r="567" spans="14:14" ht="14.4" x14ac:dyDescent="0.3">
      <c r="N567"/>
    </row>
    <row r="568" spans="14:14" ht="14.4" x14ac:dyDescent="0.3">
      <c r="N568"/>
    </row>
    <row r="569" spans="14:14" ht="14.4" x14ac:dyDescent="0.3">
      <c r="N569"/>
    </row>
    <row r="570" spans="14:14" ht="14.4" x14ac:dyDescent="0.3">
      <c r="N570"/>
    </row>
    <row r="571" spans="14:14" ht="14.4" x14ac:dyDescent="0.3">
      <c r="N571"/>
    </row>
    <row r="572" spans="14:14" ht="14.4" x14ac:dyDescent="0.3">
      <c r="N572"/>
    </row>
    <row r="573" spans="14:14" ht="14.4" x14ac:dyDescent="0.3">
      <c r="N573"/>
    </row>
    <row r="574" spans="14:14" ht="14.4" x14ac:dyDescent="0.3">
      <c r="N574"/>
    </row>
    <row r="575" spans="14:14" ht="14.4" x14ac:dyDescent="0.3">
      <c r="N575"/>
    </row>
    <row r="576" spans="14:14" ht="14.4" x14ac:dyDescent="0.3">
      <c r="N576"/>
    </row>
    <row r="577" spans="14:14" ht="14.4" x14ac:dyDescent="0.3">
      <c r="N577"/>
    </row>
    <row r="578" spans="14:14" ht="14.4" x14ac:dyDescent="0.3">
      <c r="N578"/>
    </row>
    <row r="579" spans="14:14" ht="14.4" x14ac:dyDescent="0.3">
      <c r="N579"/>
    </row>
    <row r="580" spans="14:14" ht="14.4" x14ac:dyDescent="0.3">
      <c r="N580"/>
    </row>
    <row r="581" spans="14:14" ht="14.4" x14ac:dyDescent="0.3">
      <c r="N581"/>
    </row>
    <row r="582" spans="14:14" ht="14.4" x14ac:dyDescent="0.3">
      <c r="N582"/>
    </row>
    <row r="583" spans="14:14" ht="14.4" x14ac:dyDescent="0.3">
      <c r="N583"/>
    </row>
    <row r="584" spans="14:14" ht="14.4" x14ac:dyDescent="0.3">
      <c r="N584"/>
    </row>
    <row r="585" spans="14:14" ht="14.4" x14ac:dyDescent="0.3">
      <c r="N585"/>
    </row>
    <row r="586" spans="14:14" ht="14.4" x14ac:dyDescent="0.3">
      <c r="N586"/>
    </row>
    <row r="587" spans="14:14" ht="14.4" x14ac:dyDescent="0.3">
      <c r="N587"/>
    </row>
    <row r="588" spans="14:14" ht="14.4" x14ac:dyDescent="0.3">
      <c r="N588"/>
    </row>
    <row r="589" spans="14:14" ht="14.4" x14ac:dyDescent="0.3">
      <c r="N589"/>
    </row>
    <row r="590" spans="14:14" ht="14.4" x14ac:dyDescent="0.3">
      <c r="N590"/>
    </row>
    <row r="591" spans="14:14" ht="14.4" x14ac:dyDescent="0.3">
      <c r="N591"/>
    </row>
    <row r="592" spans="14:14" ht="14.4" x14ac:dyDescent="0.3">
      <c r="N592"/>
    </row>
    <row r="593" spans="14:14" ht="14.4" x14ac:dyDescent="0.3">
      <c r="N593"/>
    </row>
    <row r="594" spans="14:14" ht="14.4" x14ac:dyDescent="0.3">
      <c r="N594"/>
    </row>
    <row r="595" spans="14:14" ht="14.4" x14ac:dyDescent="0.3">
      <c r="N595"/>
    </row>
    <row r="596" spans="14:14" ht="14.4" x14ac:dyDescent="0.3">
      <c r="N596"/>
    </row>
    <row r="597" spans="14:14" ht="14.4" x14ac:dyDescent="0.3">
      <c r="N597"/>
    </row>
    <row r="598" spans="14:14" ht="14.4" x14ac:dyDescent="0.3">
      <c r="N598"/>
    </row>
    <row r="599" spans="14:14" ht="14.4" x14ac:dyDescent="0.3">
      <c r="N599"/>
    </row>
    <row r="600" spans="14:14" ht="14.4" x14ac:dyDescent="0.3">
      <c r="N600"/>
    </row>
    <row r="601" spans="14:14" ht="14.4" x14ac:dyDescent="0.3">
      <c r="N601"/>
    </row>
    <row r="602" spans="14:14" ht="14.4" x14ac:dyDescent="0.3">
      <c r="N602"/>
    </row>
    <row r="603" spans="14:14" ht="14.4" x14ac:dyDescent="0.3">
      <c r="N603"/>
    </row>
    <row r="604" spans="14:14" ht="14.4" x14ac:dyDescent="0.3">
      <c r="N604"/>
    </row>
    <row r="605" spans="14:14" ht="14.4" x14ac:dyDescent="0.3">
      <c r="N605"/>
    </row>
    <row r="606" spans="14:14" ht="14.4" x14ac:dyDescent="0.3">
      <c r="N606"/>
    </row>
    <row r="607" spans="14:14" ht="14.4" x14ac:dyDescent="0.3">
      <c r="N607"/>
    </row>
    <row r="608" spans="14:14" ht="14.4" x14ac:dyDescent="0.3">
      <c r="N608"/>
    </row>
    <row r="609" spans="14:14" ht="14.4" x14ac:dyDescent="0.3">
      <c r="N609"/>
    </row>
    <row r="610" spans="14:14" ht="14.4" x14ac:dyDescent="0.3">
      <c r="N610"/>
    </row>
    <row r="611" spans="14:14" ht="14.4" x14ac:dyDescent="0.3">
      <c r="N611"/>
    </row>
    <row r="612" spans="14:14" ht="14.4" x14ac:dyDescent="0.3">
      <c r="N612"/>
    </row>
    <row r="613" spans="14:14" ht="14.4" x14ac:dyDescent="0.3">
      <c r="N613"/>
    </row>
    <row r="614" spans="14:14" ht="14.4" x14ac:dyDescent="0.3">
      <c r="N614"/>
    </row>
    <row r="615" spans="14:14" ht="14.4" x14ac:dyDescent="0.3">
      <c r="N615"/>
    </row>
    <row r="616" spans="14:14" ht="14.4" x14ac:dyDescent="0.3">
      <c r="N616"/>
    </row>
    <row r="617" spans="14:14" ht="14.4" x14ac:dyDescent="0.3">
      <c r="N617"/>
    </row>
    <row r="618" spans="14:14" ht="14.4" x14ac:dyDescent="0.3">
      <c r="N618"/>
    </row>
    <row r="619" spans="14:14" ht="14.4" x14ac:dyDescent="0.3">
      <c r="N619"/>
    </row>
    <row r="620" spans="14:14" ht="14.4" x14ac:dyDescent="0.3">
      <c r="N620"/>
    </row>
    <row r="621" spans="14:14" ht="14.4" x14ac:dyDescent="0.3">
      <c r="N621"/>
    </row>
    <row r="622" spans="14:14" ht="14.4" x14ac:dyDescent="0.3">
      <c r="N622"/>
    </row>
    <row r="623" spans="14:14" ht="14.4" x14ac:dyDescent="0.3">
      <c r="N623"/>
    </row>
    <row r="624" spans="14:14" ht="14.4" x14ac:dyDescent="0.3">
      <c r="N624"/>
    </row>
    <row r="625" spans="14:14" ht="14.4" x14ac:dyDescent="0.3">
      <c r="N625"/>
    </row>
    <row r="626" spans="14:14" ht="14.4" x14ac:dyDescent="0.3">
      <c r="N626"/>
    </row>
    <row r="627" spans="14:14" ht="14.4" x14ac:dyDescent="0.3">
      <c r="N627"/>
    </row>
    <row r="628" spans="14:14" ht="14.4" x14ac:dyDescent="0.3">
      <c r="N628"/>
    </row>
    <row r="629" spans="14:14" ht="14.4" x14ac:dyDescent="0.3">
      <c r="N629"/>
    </row>
    <row r="630" spans="14:14" ht="14.4" x14ac:dyDescent="0.3">
      <c r="N630"/>
    </row>
    <row r="631" spans="14:14" ht="14.4" x14ac:dyDescent="0.3">
      <c r="N631"/>
    </row>
    <row r="632" spans="14:14" ht="14.4" x14ac:dyDescent="0.3">
      <c r="N632"/>
    </row>
  </sheetData>
  <sortState xmlns:xlrd2="http://schemas.microsoft.com/office/spreadsheetml/2017/richdata2" ref="N2:N5">
    <sortCondition ref="N2"/>
  </sortState>
  <pageMargins left="0.7" right="0.7" top="0.75" bottom="0.75" header="0.3" footer="0.3"/>
  <pageSetup orientation="portrait" r:id="rId1"/>
  <ignoredErrors>
    <ignoredError sqref="R38" evalError="1"/>
  </ignoredErrors>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16"/>
  <sheetViews>
    <sheetView zoomScaleNormal="100" workbookViewId="0">
      <selection activeCell="E1" sqref="E1"/>
    </sheetView>
  </sheetViews>
  <sheetFormatPr defaultRowHeight="14.4" zeroHeight="1" x14ac:dyDescent="0.3"/>
  <cols>
    <col min="1" max="1" width="17.21875" customWidth="1"/>
    <col min="2" max="2" width="13.21875" customWidth="1"/>
    <col min="3" max="3" width="16.44140625" customWidth="1"/>
    <col min="4" max="4" width="10.21875" customWidth="1"/>
    <col min="5" max="5" width="21" customWidth="1"/>
  </cols>
  <sheetData>
    <row r="1" spans="1:5" s="190" customFormat="1" ht="50.55" customHeight="1" x14ac:dyDescent="0.3">
      <c r="A1" s="189"/>
    </row>
    <row r="2" spans="1:5" s="188" customFormat="1" x14ac:dyDescent="0.3">
      <c r="A2" s="188" t="s">
        <v>307</v>
      </c>
      <c r="B2" s="188" t="s">
        <v>67</v>
      </c>
      <c r="C2" s="188" t="s">
        <v>308</v>
      </c>
      <c r="D2" s="188" t="s">
        <v>68</v>
      </c>
      <c r="E2" s="188" t="s">
        <v>309</v>
      </c>
    </row>
    <row r="3" spans="1:5" x14ac:dyDescent="0.3">
      <c r="A3" t="s">
        <v>311</v>
      </c>
      <c r="B3" t="s">
        <v>176</v>
      </c>
      <c r="C3" t="s">
        <v>248</v>
      </c>
      <c r="D3" t="s">
        <v>177</v>
      </c>
      <c r="E3" t="s">
        <v>216</v>
      </c>
    </row>
    <row r="4" spans="1:5" x14ac:dyDescent="0.3">
      <c r="A4" t="s">
        <v>312</v>
      </c>
      <c r="B4" t="s">
        <v>228</v>
      </c>
      <c r="C4" t="s">
        <v>236</v>
      </c>
      <c r="D4" t="s">
        <v>177</v>
      </c>
      <c r="E4" t="s">
        <v>216</v>
      </c>
    </row>
    <row r="5" spans="1:5" x14ac:dyDescent="0.3">
      <c r="A5" t="s">
        <v>310</v>
      </c>
      <c r="B5" t="s">
        <v>228</v>
      </c>
      <c r="C5" t="s">
        <v>226</v>
      </c>
      <c r="D5" t="s">
        <v>179</v>
      </c>
      <c r="E5" t="s">
        <v>227</v>
      </c>
    </row>
    <row r="6" spans="1:5" x14ac:dyDescent="0.3">
      <c r="A6" t="s">
        <v>310</v>
      </c>
      <c r="B6" t="s">
        <v>228</v>
      </c>
      <c r="C6" t="s">
        <v>236</v>
      </c>
      <c r="D6" t="s">
        <v>177</v>
      </c>
      <c r="E6" t="s">
        <v>216</v>
      </c>
    </row>
    <row r="7" spans="1:5" x14ac:dyDescent="0.3">
      <c r="A7" t="s">
        <v>313</v>
      </c>
      <c r="B7" t="s">
        <v>228</v>
      </c>
      <c r="C7" t="s">
        <v>245</v>
      </c>
      <c r="D7" t="s">
        <v>179</v>
      </c>
      <c r="E7" t="s">
        <v>227</v>
      </c>
    </row>
    <row r="8" spans="1:5" x14ac:dyDescent="0.3">
      <c r="A8" t="s">
        <v>314</v>
      </c>
      <c r="B8" t="s">
        <v>176</v>
      </c>
      <c r="C8" t="s">
        <v>226</v>
      </c>
      <c r="D8" t="s">
        <v>179</v>
      </c>
      <c r="E8" t="s">
        <v>227</v>
      </c>
    </row>
    <row r="9" spans="1:5" x14ac:dyDescent="0.3">
      <c r="A9" t="s">
        <v>315</v>
      </c>
      <c r="B9" t="s">
        <v>176</v>
      </c>
      <c r="C9" t="s">
        <v>239</v>
      </c>
      <c r="D9" t="s">
        <v>179</v>
      </c>
      <c r="E9" t="s">
        <v>227</v>
      </c>
    </row>
    <row r="10" spans="1:5" x14ac:dyDescent="0.3">
      <c r="A10" t="s">
        <v>316</v>
      </c>
      <c r="B10" t="s">
        <v>232</v>
      </c>
      <c r="C10" t="s">
        <v>241</v>
      </c>
      <c r="D10" t="s">
        <v>179</v>
      </c>
      <c r="E10" t="s">
        <v>223</v>
      </c>
    </row>
    <row r="11" spans="1:5" x14ac:dyDescent="0.3">
      <c r="A11" t="s">
        <v>317</v>
      </c>
      <c r="B11" t="s">
        <v>176</v>
      </c>
      <c r="C11" t="s">
        <v>178</v>
      </c>
      <c r="D11" t="s">
        <v>177</v>
      </c>
      <c r="E11" t="s">
        <v>216</v>
      </c>
    </row>
    <row r="12" spans="1:5" x14ac:dyDescent="0.3">
      <c r="A12" t="s">
        <v>320</v>
      </c>
      <c r="B12" t="s">
        <v>176</v>
      </c>
      <c r="C12" t="s">
        <v>226</v>
      </c>
      <c r="D12" t="s">
        <v>179</v>
      </c>
      <c r="E12" t="s">
        <v>227</v>
      </c>
    </row>
    <row r="13" spans="1:5" x14ac:dyDescent="0.3"/>
    <row r="14" spans="1:5" x14ac:dyDescent="0.3"/>
    <row r="15" spans="1:5" x14ac:dyDescent="0.3"/>
    <row r="16" spans="1:5" ht="14.55" customHeight="1"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Button2_Click">
                <anchor moveWithCells="1" sizeWithCells="1">
                  <from>
                    <xdr:col>0</xdr:col>
                    <xdr:colOff>1097280</xdr:colOff>
                    <xdr:row>0</xdr:row>
                    <xdr:rowOff>205740</xdr:rowOff>
                  </from>
                  <to>
                    <xdr:col>2</xdr:col>
                    <xdr:colOff>243840</xdr:colOff>
                    <xdr:row>0</xdr:row>
                    <xdr:rowOff>548640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
  <sheetViews>
    <sheetView workbookViewId="0">
      <selection activeCell="M12" sqref="M12"/>
    </sheetView>
  </sheetViews>
  <sheetFormatPr defaultRowHeight="14.4" x14ac:dyDescent="0.3"/>
  <cols>
    <col min="1" max="1" width="15.21875" customWidth="1"/>
    <col min="2" max="2" width="15.44140625" customWidth="1"/>
    <col min="3" max="3" width="21.5546875" customWidth="1"/>
    <col min="4" max="4" width="27" customWidth="1"/>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435E795772CC54EA73EF82D9FAE0A89" ma:contentTypeVersion="2" ma:contentTypeDescription="Create a new document." ma:contentTypeScope="" ma:versionID="0346b602efce62a97d480706852e666d">
  <xsd:schema xmlns:xsd="http://www.w3.org/2001/XMLSchema" xmlns:xs="http://www.w3.org/2001/XMLSchema" xmlns:p="http://schemas.microsoft.com/office/2006/metadata/properties" xmlns:ns2="08cb7990-3c7a-497b-83fe-8800b4f9a184" targetNamespace="http://schemas.microsoft.com/office/2006/metadata/properties" ma:root="true" ma:fieldsID="e9715549949d879bead6937b9b53d59c" ns2:_="">
    <xsd:import namespace="08cb7990-3c7a-497b-83fe-8800b4f9a18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8cb7990-3c7a-497b-83fe-8800b4f9a1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8AE9EF-2CC5-47BC-BED3-BC3EDFD229DD}">
  <ds:schemaRefs>
    <ds:schemaRef ds:uri="http://purl.org/dc/dcmitype/"/>
    <ds:schemaRef ds:uri="http://schemas.microsoft.com/office/infopath/2007/PartnerControls"/>
    <ds:schemaRef ds:uri="http://purl.org/dc/terms/"/>
    <ds:schemaRef ds:uri="http://schemas.microsoft.com/office/2006/documentManagement/types"/>
    <ds:schemaRef ds:uri="http://schemas.openxmlformats.org/package/2006/metadata/core-properties"/>
    <ds:schemaRef ds:uri="http://purl.org/dc/elements/1.1/"/>
    <ds:schemaRef ds:uri="08cb7990-3c7a-497b-83fe-8800b4f9a184"/>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1B711592-A26B-4256-9B27-226E91A50E36}">
  <ds:schemaRefs>
    <ds:schemaRef ds:uri="http://schemas.microsoft.com/sharepoint/v3/contenttype/forms"/>
  </ds:schemaRefs>
</ds:datastoreItem>
</file>

<file path=customXml/itemProps3.xml><?xml version="1.0" encoding="utf-8"?>
<ds:datastoreItem xmlns:ds="http://schemas.openxmlformats.org/officeDocument/2006/customXml" ds:itemID="{503BE760-635E-46C2-94A9-B5A26085A0B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8cb7990-3c7a-497b-83fe-8800b4f9a18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Guidelines</vt:lpstr>
      <vt:lpstr>Audit Viewer</vt:lpstr>
      <vt:lpstr>Data Dump</vt:lpstr>
      <vt:lpstr>Audit Form</vt:lpstr>
      <vt:lpstr>Roster</vt:lpstr>
      <vt:lpstr>Database</vt:lpstr>
      <vt:lpstr>Report</vt:lpstr>
      <vt:lpstr>analyst</vt:lpstr>
      <vt:lpstr>Auditor</vt:lpstr>
      <vt:lpstr>audittype</vt:lpstr>
      <vt:lpstr>callduration</vt:lpstr>
      <vt:lpstr>calltype</vt:lpstr>
      <vt:lpstr>contacttype</vt:lpstr>
      <vt:lpstr>incidenttype</vt:lpstr>
      <vt:lpstr>kindofaudit</vt:lpstr>
      <vt:lpstr>rating</vt:lpstr>
      <vt:lpstr>site</vt:lpstr>
      <vt:lpstr>wg</vt:lpstr>
      <vt:lpstr>zoep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Tampil, Roma S</dc:creator>
  <cp:keywords/>
  <dc:description/>
  <cp:lastModifiedBy>Joseph</cp:lastModifiedBy>
  <cp:revision/>
  <dcterms:created xsi:type="dcterms:W3CDTF">2021-05-17T08:22:56Z</dcterms:created>
  <dcterms:modified xsi:type="dcterms:W3CDTF">2024-05-09T13:18:47Z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0x0101008435E795772CC54EA73EF82D9FAE0A89</vt:lpwstr>
  </property>
  <property fmtid="{D5CDD505-2E9C-101B-9397-08002B2CF9AE}" pid="3" name="CWRMItemRecordClassification">
    <vt:lpwstr/>
  </property>
  <property fmtid="{D5CDD505-2E9C-101B-9397-08002B2CF9AE}" pid="4" name="MSIP_Label_a8a73c85-e524-44a6-bd58-7df7ef87be8f_Enabled">
    <vt:lpwstr>true</vt:lpwstr>
  </property>
  <property fmtid="{D5CDD505-2E9C-101B-9397-08002B2CF9AE}" pid="5" name="MSIP_Label_a8a73c85-e524-44a6-bd58-7df7ef87be8f_SetDate">
    <vt:lpwstr>2023-02-22T04:18:52Z</vt:lpwstr>
  </property>
  <property fmtid="{D5CDD505-2E9C-101B-9397-08002B2CF9AE}" pid="6" name="MSIP_Label_a8a73c85-e524-44a6-bd58-7df7ef87be8f_Method">
    <vt:lpwstr>Privileged</vt:lpwstr>
  </property>
  <property fmtid="{D5CDD505-2E9C-101B-9397-08002B2CF9AE}" pid="7" name="MSIP_Label_a8a73c85-e524-44a6-bd58-7df7ef87be8f_Name">
    <vt:lpwstr>Internal Label</vt:lpwstr>
  </property>
  <property fmtid="{D5CDD505-2E9C-101B-9397-08002B2CF9AE}" pid="8" name="MSIP_Label_a8a73c85-e524-44a6-bd58-7df7ef87be8f_SiteId">
    <vt:lpwstr>db05faca-c82a-4b9d-b9c5-0f64b6755421</vt:lpwstr>
  </property>
  <property fmtid="{D5CDD505-2E9C-101B-9397-08002B2CF9AE}" pid="9" name="MSIP_Label_a8a73c85-e524-44a6-bd58-7df7ef87be8f_ActionId">
    <vt:lpwstr>c477f1e2-3f28-4ee2-bd41-69a1c5ec987d</vt:lpwstr>
  </property>
  <property fmtid="{D5CDD505-2E9C-101B-9397-08002B2CF9AE}" pid="10" name="MSIP_Label_a8a73c85-e524-44a6-bd58-7df7ef87be8f_ContentBits">
    <vt:lpwstr>0</vt:lpwstr>
  </property>
</Properties>
</file>